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d03a32a4fd20da/Desktop/"/>
    </mc:Choice>
  </mc:AlternateContent>
  <xr:revisionPtr revIDLastSave="1366" documentId="8_{CEF7C607-EC1D-4C90-A927-F8CC54DBF012}" xr6:coauthVersionLast="47" xr6:coauthVersionMax="47" xr10:uidLastSave="{529FB6D7-D6A1-4F43-BD1E-574D97C6A33B}"/>
  <bookViews>
    <workbookView xWindow="-110" yWindow="-110" windowWidth="19420" windowHeight="10300" tabRatio="1000" firstSheet="3" activeTab="8" xr2:uid="{D403EF3E-0B2E-4CA7-A473-9F56F7B7EF3A}"/>
  </bookViews>
  <sheets>
    <sheet name="Row Level Master Sheet" sheetId="9" r:id="rId1"/>
    <sheet name="TTest Output" sheetId="15" r:id="rId2"/>
    <sheet name="TTest sheet" sheetId="11" state="hidden" r:id="rId3"/>
    <sheet name="By campaign KPIs" sheetId="1" r:id="rId4"/>
    <sheet name="By region KPIs" sheetId="3" r:id="rId5"/>
    <sheet name="By industry KPIs" sheetId="10" r:id="rId6"/>
    <sheet name="Traditional vs digital" sheetId="5" r:id="rId7"/>
    <sheet name="Best 5" sheetId="6" r:id="rId8"/>
    <sheet name="Worst 5" sheetId="7" r:id="rId9"/>
  </sheets>
  <definedNames>
    <definedName name="_xlnm._FilterDatabase" localSheetId="7" hidden="1">'Best 5'!$B$1:$G$6</definedName>
    <definedName name="_xlnm._FilterDatabase" localSheetId="3" hidden="1">'By campaign KPIs'!$A$1:$J$9</definedName>
    <definedName name="_xlnm._FilterDatabase" localSheetId="5" hidden="1">'By industry KPIs'!$A$1:$D$7</definedName>
    <definedName name="_xlnm._FilterDatabase" localSheetId="4" hidden="1">'By region KPIs'!$A$1:$D$7</definedName>
    <definedName name="_xlnm._FilterDatabase" localSheetId="0" hidden="1">'Row Level Master Sheet'!$A$1:$N$1001</definedName>
    <definedName name="_xlnm._FilterDatabase" localSheetId="2" hidden="1">'TTest sheet'!$A$1:$B$1</definedName>
    <definedName name="_xlnm._FilterDatabase" localSheetId="8" hidden="1">'Worst 5'!$B$1:$G$6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7" i="11" l="1" a="1"/>
  <c r="B348" i="11" a="1"/>
  <c r="B349" i="11" a="1"/>
  <c r="B350" i="11" a="1"/>
  <c r="B351" i="11" a="1"/>
  <c r="B352" i="11" a="1"/>
  <c r="B353" i="11" a="1"/>
  <c r="B354" i="11" a="1"/>
  <c r="B355" i="11" a="1"/>
  <c r="B356" i="11" a="1"/>
  <c r="B357" i="11" a="1"/>
  <c r="B358" i="11" a="1"/>
  <c r="B359" i="11" a="1"/>
  <c r="B360" i="11" a="1"/>
  <c r="B361" i="11" a="1"/>
  <c r="B362" i="11" a="1"/>
  <c r="B363" i="11" a="1"/>
  <c r="B364" i="11" a="1"/>
  <c r="B365" i="11" a="1"/>
  <c r="B366" i="11" a="1"/>
  <c r="B367" i="11" a="1"/>
  <c r="B368" i="11" a="1"/>
  <c r="B369" i="11" a="1"/>
  <c r="B370" i="11" a="1"/>
  <c r="B371" i="11" a="1"/>
  <c r="B372" i="11" a="1"/>
  <c r="B373" i="11" a="1"/>
  <c r="B374" i="11" a="1"/>
  <c r="B375" i="11" a="1"/>
  <c r="B376" i="11" a="1"/>
  <c r="B377" i="11" a="1"/>
  <c r="B378" i="11" a="1"/>
  <c r="B379" i="11" a="1"/>
  <c r="B380" i="11" a="1"/>
  <c r="B381" i="11" a="1"/>
  <c r="B382" i="11" a="1"/>
  <c r="B383" i="11" a="1"/>
  <c r="B384" i="11" a="1"/>
  <c r="B385" i="11" a="1"/>
  <c r="B386" i="11" a="1"/>
  <c r="B387" i="11" a="1"/>
  <c r="B388" i="11" a="1"/>
  <c r="B389" i="11" a="1"/>
  <c r="B390" i="11" a="1"/>
  <c r="B391" i="11" a="1"/>
  <c r="B392" i="11" a="1"/>
  <c r="B393" i="11" a="1"/>
  <c r="B394" i="11" a="1"/>
  <c r="B395" i="11" a="1"/>
  <c r="B396" i="11" a="1"/>
  <c r="B397" i="11" a="1"/>
  <c r="B398" i="11" a="1"/>
  <c r="B399" i="11" a="1"/>
  <c r="B400" i="11" a="1"/>
  <c r="B401" i="11" a="1"/>
  <c r="B402" i="11" a="1"/>
  <c r="B403" i="11" a="1"/>
  <c r="B404" i="11" a="1"/>
  <c r="B405" i="11" a="1"/>
  <c r="B406" i="11" a="1"/>
  <c r="B407" i="11" a="1"/>
  <c r="B408" i="11" a="1"/>
  <c r="B409" i="11" a="1"/>
  <c r="B410" i="11" a="1"/>
  <c r="B411" i="11" a="1"/>
  <c r="B412" i="11" a="1"/>
  <c r="B413" i="11" a="1"/>
  <c r="B414" i="11" a="1"/>
  <c r="B415" i="11" a="1"/>
  <c r="B416" i="11" a="1"/>
  <c r="B417" i="11" a="1"/>
  <c r="B418" i="11" a="1"/>
  <c r="B419" i="11" a="1"/>
  <c r="B420" i="11" a="1"/>
  <c r="B421" i="11" a="1"/>
  <c r="B422" i="11" a="1"/>
  <c r="B423" i="11" a="1"/>
  <c r="B424" i="11" a="1"/>
  <c r="B425" i="11" a="1"/>
  <c r="B426" i="11" a="1"/>
  <c r="B427" i="11" a="1"/>
  <c r="B428" i="11" a="1"/>
  <c r="B429" i="11" a="1"/>
  <c r="B430" i="11" a="1"/>
  <c r="B431" i="11" a="1"/>
  <c r="B432" i="11" a="1"/>
  <c r="B433" i="11" a="1"/>
  <c r="B434" i="11" a="1"/>
  <c r="B435" i="11" a="1"/>
  <c r="B436" i="11" a="1"/>
  <c r="B437" i="11" a="1"/>
  <c r="B438" i="11" a="1"/>
  <c r="B439" i="11" a="1"/>
  <c r="B440" i="11" a="1"/>
  <c r="B441" i="11" a="1"/>
  <c r="B442" i="11" a="1"/>
  <c r="B443" i="11" a="1"/>
  <c r="B444" i="11" a="1"/>
  <c r="B445" i="11" a="1"/>
  <c r="B446" i="11" a="1"/>
  <c r="B447" i="11" a="1"/>
  <c r="B448" i="11" a="1"/>
  <c r="B449" i="11" a="1"/>
  <c r="B450" i="11" a="1"/>
  <c r="B451" i="11" a="1"/>
  <c r="B452" i="11" a="1"/>
  <c r="B453" i="11" a="1"/>
  <c r="B454" i="11" a="1"/>
  <c r="B455" i="11" a="1"/>
  <c r="B456" i="11" a="1"/>
  <c r="B457" i="11" a="1"/>
  <c r="B458" i="11" a="1"/>
  <c r="B459" i="11" a="1"/>
  <c r="B460" i="11" a="1"/>
  <c r="B461" i="11" a="1"/>
  <c r="B462" i="11" a="1"/>
  <c r="B463" i="11" a="1"/>
  <c r="B464" i="11" a="1"/>
  <c r="B465" i="11" a="1"/>
  <c r="B466" i="11" a="1"/>
  <c r="B467" i="11" a="1"/>
  <c r="B468" i="11" a="1"/>
  <c r="B469" i="11" a="1"/>
  <c r="B470" i="11" a="1"/>
  <c r="B471" i="11" a="1"/>
  <c r="B472" i="11" a="1"/>
  <c r="B473" i="11" a="1"/>
  <c r="B474" i="11" a="1"/>
  <c r="B475" i="11" a="1"/>
  <c r="B476" i="11" a="1"/>
  <c r="B477" i="11" a="1"/>
  <c r="B478" i="11" a="1"/>
  <c r="B479" i="11" a="1"/>
  <c r="B480" i="11" a="1"/>
  <c r="B481" i="11" a="1"/>
  <c r="B482" i="11" a="1"/>
  <c r="B483" i="11" a="1"/>
  <c r="B484" i="11" a="1"/>
  <c r="B485" i="11" a="1"/>
  <c r="B486" i="11" a="1"/>
  <c r="B487" i="11" a="1"/>
  <c r="B488" i="11" a="1"/>
  <c r="B489" i="11" a="1"/>
  <c r="B490" i="11" a="1"/>
  <c r="B491" i="11" a="1"/>
  <c r="B492" i="11" a="1"/>
  <c r="B493" i="11" a="1"/>
  <c r="B494" i="11" a="1"/>
  <c r="B495" i="11" a="1"/>
  <c r="B496" i="11" a="1"/>
  <c r="B497" i="11" a="1"/>
  <c r="B498" i="11" a="1"/>
  <c r="B499" i="11" a="1"/>
  <c r="B500" i="11" a="1"/>
  <c r="B501" i="11" a="1"/>
  <c r="B502" i="11" a="1"/>
  <c r="B503" i="11" a="1"/>
  <c r="B504" i="11" a="1"/>
  <c r="B505" i="11" a="1"/>
  <c r="B506" i="11" a="1"/>
  <c r="B507" i="11" a="1"/>
  <c r="B508" i="11" a="1"/>
  <c r="B509" i="11" a="1"/>
  <c r="B510" i="11" a="1"/>
  <c r="B511" i="11" a="1"/>
  <c r="B512" i="11" a="1"/>
  <c r="B513" i="11" a="1"/>
  <c r="B514" i="11" a="1"/>
  <c r="B515" i="11" a="1"/>
  <c r="B516" i="11" a="1"/>
  <c r="B517" i="11" a="1"/>
  <c r="B518" i="11" a="1"/>
  <c r="B519" i="11" a="1"/>
  <c r="B520" i="11" a="1"/>
  <c r="B521" i="11" a="1"/>
  <c r="B522" i="11" a="1"/>
  <c r="B523" i="11" a="1"/>
  <c r="B524" i="11" a="1"/>
  <c r="B525" i="11" a="1"/>
  <c r="B526" i="11" a="1"/>
  <c r="B527" i="11" a="1"/>
  <c r="B528" i="11" a="1"/>
  <c r="B529" i="11" a="1"/>
  <c r="B530" i="11" a="1"/>
  <c r="B531" i="11" a="1"/>
  <c r="B532" i="11" a="1"/>
  <c r="B533" i="11" a="1"/>
  <c r="B534" i="11" a="1"/>
  <c r="B535" i="11" a="1"/>
  <c r="B536" i="11" a="1"/>
  <c r="B537" i="11" a="1"/>
  <c r="B538" i="11" a="1"/>
  <c r="B539" i="11" a="1"/>
  <c r="B540" i="11" a="1"/>
  <c r="B541" i="11" a="1"/>
  <c r="B542" i="11" a="1"/>
  <c r="B543" i="11" a="1"/>
  <c r="B544" i="11" a="1"/>
  <c r="B545" i="11" a="1"/>
  <c r="B546" i="11" a="1"/>
  <c r="B547" i="11" a="1"/>
  <c r="B548" i="11" a="1"/>
  <c r="B549" i="11" a="1"/>
  <c r="B550" i="11" a="1"/>
  <c r="B551" i="11" a="1"/>
  <c r="B552" i="11" a="1"/>
  <c r="B553" i="11" a="1"/>
  <c r="B554" i="11" a="1"/>
  <c r="B555" i="11" a="1"/>
  <c r="B556" i="11" a="1"/>
  <c r="B557" i="11" a="1"/>
  <c r="B558" i="11" a="1"/>
  <c r="B559" i="11" a="1"/>
  <c r="B560" i="11" a="1"/>
  <c r="B561" i="11" a="1"/>
  <c r="B562" i="11" a="1"/>
  <c r="B563" i="11" a="1"/>
  <c r="B564" i="11" a="1"/>
  <c r="B565" i="11" a="1"/>
  <c r="B566" i="11" a="1"/>
  <c r="B567" i="11" a="1"/>
  <c r="B568" i="11" a="1"/>
  <c r="B569" i="11" a="1"/>
  <c r="B570" i="11" a="1"/>
  <c r="B571" i="11" a="1"/>
  <c r="B572" i="11" a="1"/>
  <c r="B573" i="11" a="1"/>
  <c r="B574" i="11" a="1"/>
  <c r="B575" i="11" a="1"/>
  <c r="B576" i="11" a="1"/>
  <c r="B577" i="11" a="1"/>
  <c r="B578" i="11" a="1"/>
  <c r="B579" i="11" a="1"/>
  <c r="B580" i="11" a="1"/>
  <c r="B581" i="11" a="1"/>
  <c r="B582" i="11" a="1"/>
  <c r="B583" i="11" a="1"/>
  <c r="B584" i="11" a="1"/>
  <c r="B585" i="11" a="1"/>
  <c r="B586" i="11" a="1"/>
  <c r="B587" i="11" a="1"/>
  <c r="B588" i="11" a="1"/>
  <c r="B589" i="11" a="1"/>
  <c r="B590" i="11" a="1"/>
  <c r="B591" i="11" a="1"/>
  <c r="B592" i="11" a="1"/>
  <c r="B593" i="11" a="1"/>
  <c r="B594" i="11" a="1"/>
  <c r="B595" i="11" a="1"/>
  <c r="B596" i="11" a="1"/>
  <c r="B597" i="11" a="1"/>
  <c r="B598" i="11" a="1"/>
  <c r="B599" i="11" a="1"/>
  <c r="B600" i="11" a="1"/>
  <c r="B601" i="11" a="1"/>
  <c r="B602" i="11" a="1"/>
  <c r="B603" i="11" a="1"/>
  <c r="B604" i="11" a="1"/>
  <c r="B605" i="11" a="1"/>
  <c r="B606" i="11" a="1"/>
  <c r="B607" i="11" a="1"/>
  <c r="B608" i="11" a="1"/>
  <c r="B609" i="11" a="1"/>
  <c r="B610" i="11" a="1"/>
  <c r="B611" i="11" a="1"/>
  <c r="B612" i="11" a="1"/>
  <c r="B613" i="11" a="1"/>
  <c r="B614" i="11" a="1"/>
  <c r="B615" i="11" a="1"/>
  <c r="B616" i="11" a="1"/>
  <c r="B617" i="11" a="1"/>
  <c r="B618" i="11" a="1"/>
  <c r="B619" i="11" a="1"/>
  <c r="B620" i="11" a="1"/>
  <c r="B621" i="11" a="1"/>
  <c r="B622" i="11" a="1"/>
  <c r="B623" i="11" a="1"/>
  <c r="B624" i="11" a="1"/>
  <c r="B625" i="11" a="1"/>
  <c r="B626" i="11" a="1"/>
  <c r="B627" i="11" a="1"/>
  <c r="B628" i="11" a="1"/>
  <c r="B629" i="11" a="1"/>
  <c r="B630" i="11" a="1"/>
  <c r="B631" i="11" a="1"/>
  <c r="B632" i="11" a="1"/>
  <c r="B633" i="11" a="1"/>
  <c r="B634" i="11" a="1"/>
  <c r="B635" i="11" a="1"/>
  <c r="B636" i="11" a="1"/>
  <c r="B637" i="11" a="1"/>
  <c r="B638" i="11" a="1"/>
  <c r="B639" i="11" a="1"/>
  <c r="B640" i="11" a="1"/>
  <c r="B641" i="11" a="1"/>
  <c r="B642" i="11" a="1"/>
  <c r="B643" i="11" a="1"/>
  <c r="B644" i="11" a="1"/>
  <c r="B645" i="11" a="1"/>
  <c r="B646" i="11" a="1"/>
  <c r="B647" i="11" a="1"/>
  <c r="B648" i="11" a="1"/>
  <c r="B649" i="11" a="1"/>
  <c r="B650" i="11" a="1"/>
  <c r="B651" i="11" a="1"/>
  <c r="B652" i="11" a="1"/>
  <c r="B653" i="11" a="1"/>
  <c r="B654" i="11" a="1"/>
  <c r="B655" i="11" a="1"/>
  <c r="B656" i="11" a="1"/>
  <c r="B657" i="11" a="1"/>
  <c r="B658" i="11" a="1"/>
  <c r="B659" i="11" a="1"/>
  <c r="B660" i="11" a="1"/>
  <c r="B661" i="11" a="1"/>
  <c r="B662" i="11" a="1"/>
  <c r="B663" i="11" a="1"/>
  <c r="B664" i="11" a="1"/>
  <c r="B665" i="11" a="1"/>
  <c r="B666" i="11" a="1"/>
  <c r="B667" i="11" a="1"/>
  <c r="B668" i="11" a="1"/>
  <c r="B669" i="11" a="1"/>
  <c r="B670" i="11" a="1"/>
  <c r="B671" i="11" a="1"/>
  <c r="B672" i="11" a="1"/>
  <c r="B673" i="11" a="1"/>
  <c r="B674" i="11" a="1"/>
  <c r="B675" i="11" a="1"/>
  <c r="B676" i="11" a="1"/>
  <c r="B677" i="11" a="1"/>
  <c r="B678" i="11" a="1"/>
  <c r="B679" i="11" a="1"/>
  <c r="B680" i="11" a="1"/>
  <c r="B681" i="11" a="1"/>
  <c r="B682" i="11" a="1"/>
  <c r="B683" i="11" a="1"/>
  <c r="B684" i="11" a="1"/>
  <c r="B685" i="11" a="1"/>
  <c r="B686" i="11" a="1"/>
  <c r="B687" i="11" a="1"/>
  <c r="B688" i="11" a="1"/>
  <c r="B689" i="11" a="1"/>
  <c r="B690" i="11" a="1"/>
  <c r="B691" i="11" a="1"/>
  <c r="B692" i="11" a="1"/>
  <c r="B693" i="11" a="1"/>
  <c r="B694" i="11" a="1"/>
  <c r="B695" i="11" a="1"/>
  <c r="B696" i="11" a="1"/>
  <c r="B697" i="11" a="1"/>
  <c r="B698" i="11" a="1"/>
  <c r="B699" i="11" a="1"/>
  <c r="B700" i="11" a="1"/>
  <c r="B701" i="11" a="1"/>
  <c r="B702" i="11" a="1"/>
  <c r="B703" i="11" a="1"/>
  <c r="B704" i="11" a="1"/>
  <c r="B705" i="11" a="1"/>
  <c r="B706" i="11" a="1"/>
  <c r="B707" i="11" a="1"/>
  <c r="B708" i="11" a="1"/>
  <c r="B709" i="11" a="1"/>
  <c r="B710" i="11" a="1"/>
  <c r="B711" i="11" a="1"/>
  <c r="B712" i="11" a="1"/>
  <c r="B713" i="11" a="1"/>
  <c r="B714" i="11" a="1"/>
  <c r="B715" i="11" a="1"/>
  <c r="B716" i="11" a="1"/>
  <c r="B717" i="11" a="1"/>
  <c r="B718" i="11" a="1"/>
  <c r="B719" i="11" a="1"/>
  <c r="B720" i="11" a="1"/>
  <c r="B721" i="11" a="1"/>
  <c r="B722" i="11" a="1"/>
  <c r="B723" i="11" a="1"/>
  <c r="B724" i="11" a="1"/>
  <c r="B725" i="11" a="1"/>
  <c r="B726" i="11" a="1"/>
  <c r="B727" i="11" a="1"/>
  <c r="B728" i="11" a="1"/>
  <c r="B729" i="11" a="1"/>
  <c r="B730" i="11" a="1"/>
  <c r="B731" i="11" a="1"/>
  <c r="B732" i="11" a="1"/>
  <c r="B733" i="11" a="1"/>
  <c r="B734" i="11" a="1"/>
  <c r="B735" i="11" a="1"/>
  <c r="B736" i="11" a="1"/>
  <c r="B737" i="11" a="1"/>
  <c r="B738" i="11" a="1"/>
  <c r="B739" i="11" a="1"/>
  <c r="B740" i="11" a="1"/>
  <c r="B741" i="11" a="1"/>
  <c r="B742" i="11" a="1"/>
  <c r="B743" i="11" a="1"/>
  <c r="B744" i="11" a="1"/>
  <c r="B745" i="11" a="1"/>
  <c r="B746" i="11" a="1"/>
  <c r="B747" i="11" a="1"/>
  <c r="B748" i="11" a="1"/>
  <c r="B749" i="11" a="1"/>
  <c r="B750" i="11" a="1"/>
  <c r="B751" i="11" a="1"/>
  <c r="B752" i="11" a="1"/>
  <c r="B753" i="11" a="1"/>
  <c r="B754" i="11" a="1"/>
  <c r="B755" i="11" a="1"/>
  <c r="B756" i="11" a="1"/>
  <c r="B757" i="11" a="1"/>
  <c r="B758" i="11" a="1"/>
  <c r="B759" i="11" a="1"/>
  <c r="B760" i="11" a="1"/>
  <c r="B761" i="11" a="1"/>
  <c r="B762" i="11" a="1"/>
  <c r="B763" i="11" a="1"/>
  <c r="B764" i="11" a="1"/>
  <c r="B765" i="11" a="1"/>
  <c r="B766" i="11" a="1"/>
  <c r="B767" i="11" a="1"/>
  <c r="B768" i="11" a="1"/>
  <c r="B769" i="11" a="1"/>
  <c r="B770" i="11" a="1"/>
  <c r="B771" i="11" a="1"/>
  <c r="B772" i="11" a="1"/>
  <c r="B773" i="11" a="1"/>
  <c r="B774" i="11" a="1"/>
  <c r="B775" i="11" a="1"/>
  <c r="B776" i="11" a="1"/>
  <c r="B777" i="11" a="1"/>
  <c r="B778" i="11" a="1"/>
  <c r="B779" i="11" a="1"/>
  <c r="B780" i="11" a="1"/>
  <c r="B781" i="11" a="1"/>
  <c r="B782" i="11" a="1"/>
  <c r="B783" i="11" a="1"/>
  <c r="B784" i="11" a="1"/>
  <c r="B785" i="11" a="1"/>
  <c r="B786" i="11" a="1"/>
  <c r="B787" i="11" a="1"/>
  <c r="B788" i="11" a="1"/>
  <c r="B789" i="11" a="1"/>
  <c r="B790" i="11" a="1"/>
  <c r="B791" i="11" a="1"/>
  <c r="B792" i="11" a="1"/>
  <c r="B793" i="11" a="1"/>
  <c r="B794" i="11" a="1"/>
  <c r="B795" i="11" a="1"/>
  <c r="B796" i="11" a="1"/>
  <c r="B797" i="11" a="1"/>
  <c r="B798" i="11" a="1"/>
  <c r="B799" i="11" a="1"/>
  <c r="B800" i="11" a="1"/>
  <c r="B801" i="11" a="1"/>
  <c r="B802" i="11" a="1"/>
  <c r="B803" i="11" a="1"/>
  <c r="B804" i="11" a="1"/>
  <c r="B805" i="11" a="1"/>
  <c r="B806" i="11" a="1"/>
  <c r="B807" i="11" a="1"/>
  <c r="B808" i="11" a="1"/>
  <c r="B809" i="11" a="1"/>
  <c r="B810" i="11" a="1"/>
  <c r="B811" i="11" a="1"/>
  <c r="B812" i="11" a="1"/>
  <c r="B813" i="11" a="1"/>
  <c r="B814" i="11" a="1"/>
  <c r="B815" i="11" a="1"/>
  <c r="B816" i="11" a="1"/>
  <c r="B817" i="11" a="1"/>
  <c r="B818" i="11" a="1"/>
  <c r="B819" i="11" a="1"/>
  <c r="B820" i="11" a="1"/>
  <c r="B821" i="11" a="1"/>
  <c r="B822" i="11" a="1"/>
  <c r="B823" i="11" a="1"/>
  <c r="B824" i="11" a="1"/>
  <c r="B825" i="11" a="1"/>
  <c r="B826" i="11" a="1"/>
  <c r="B827" i="11" a="1"/>
  <c r="B828" i="11" a="1"/>
  <c r="B829" i="11" a="1"/>
  <c r="B830" i="11" a="1"/>
  <c r="B831" i="11" a="1"/>
  <c r="B832" i="11" a="1"/>
  <c r="B833" i="11" a="1"/>
  <c r="B834" i="11" a="1"/>
  <c r="B835" i="11" a="1"/>
  <c r="B836" i="11" a="1"/>
  <c r="B837" i="11" a="1"/>
  <c r="B838" i="11" a="1"/>
  <c r="B839" i="11" a="1"/>
  <c r="B840" i="11" a="1"/>
  <c r="B841" i="11" a="1"/>
  <c r="B842" i="11" a="1"/>
  <c r="B843" i="11" a="1"/>
  <c r="B844" i="11" a="1"/>
  <c r="B845" i="11" a="1"/>
  <c r="B846" i="11" a="1"/>
  <c r="B847" i="11" a="1"/>
  <c r="B848" i="11" a="1"/>
  <c r="B849" i="11" a="1"/>
  <c r="B850" i="11" a="1"/>
  <c r="B851" i="11" a="1"/>
  <c r="B852" i="11" a="1"/>
  <c r="B853" i="11" a="1"/>
  <c r="B854" i="11" a="1"/>
  <c r="B855" i="11" a="1"/>
  <c r="B856" i="11" a="1"/>
  <c r="B857" i="11" a="1"/>
  <c r="B858" i="11" a="1"/>
  <c r="B859" i="11" a="1"/>
  <c r="B860" i="11" a="1"/>
  <c r="B861" i="11" a="1"/>
  <c r="B862" i="11" a="1"/>
  <c r="B863" i="11" a="1"/>
  <c r="B864" i="11" a="1"/>
  <c r="B865" i="11" a="1"/>
  <c r="B866" i="11" a="1"/>
  <c r="B867" i="11" a="1"/>
  <c r="B868" i="11" a="1"/>
  <c r="B869" i="11" a="1"/>
  <c r="B870" i="11" a="1"/>
  <c r="B871" i="11" a="1"/>
  <c r="B872" i="11" a="1"/>
  <c r="B873" i="11" a="1"/>
  <c r="B874" i="11" a="1"/>
  <c r="B875" i="11" a="1"/>
  <c r="B876" i="11" a="1"/>
  <c r="B877" i="11" a="1"/>
  <c r="B878" i="11" a="1"/>
  <c r="B879" i="11" a="1"/>
  <c r="B880" i="11" a="1"/>
  <c r="B881" i="11" a="1"/>
  <c r="B882" i="11" a="1"/>
  <c r="B883" i="11" a="1"/>
  <c r="B884" i="11" a="1"/>
  <c r="B885" i="11" a="1"/>
  <c r="B886" i="11" a="1"/>
  <c r="B887" i="11" a="1"/>
  <c r="B888" i="11" a="1"/>
  <c r="B889" i="11" a="1"/>
  <c r="B890" i="11" a="1"/>
  <c r="B891" i="11" a="1"/>
  <c r="B892" i="11" a="1"/>
  <c r="B893" i="11" a="1"/>
  <c r="B894" i="11" a="1"/>
  <c r="B895" i="11" a="1"/>
  <c r="B896" i="11" a="1"/>
  <c r="B897" i="11" a="1"/>
  <c r="B898" i="11" a="1"/>
  <c r="B899" i="11" a="1"/>
  <c r="B900" i="11" a="1"/>
  <c r="B901" i="11" a="1"/>
  <c r="B902" i="11" a="1"/>
  <c r="B903" i="11" a="1"/>
  <c r="B904" i="11" a="1"/>
  <c r="B905" i="11" a="1"/>
  <c r="B906" i="11" a="1"/>
  <c r="B907" i="11" a="1"/>
  <c r="B908" i="11" a="1"/>
  <c r="B909" i="11" a="1"/>
  <c r="B910" i="11" a="1"/>
  <c r="B911" i="11" a="1"/>
  <c r="B912" i="11" a="1"/>
  <c r="B913" i="11" a="1"/>
  <c r="B914" i="11" a="1"/>
  <c r="B915" i="11" a="1"/>
  <c r="B916" i="11" a="1"/>
  <c r="B917" i="11" a="1"/>
  <c r="B918" i="11" a="1"/>
  <c r="B919" i="11" a="1"/>
  <c r="B920" i="11" a="1"/>
  <c r="B921" i="11" a="1"/>
  <c r="B922" i="11" a="1"/>
  <c r="B923" i="11" a="1"/>
  <c r="B924" i="11" a="1"/>
  <c r="B925" i="11" a="1"/>
  <c r="B926" i="11" a="1"/>
  <c r="B927" i="11" a="1"/>
  <c r="B928" i="11" a="1"/>
  <c r="B929" i="11" a="1"/>
  <c r="B930" i="11" a="1"/>
  <c r="B931" i="11" a="1"/>
  <c r="B932" i="11" a="1"/>
  <c r="B933" i="11" a="1"/>
  <c r="B934" i="11" a="1"/>
  <c r="B935" i="11" a="1"/>
  <c r="B936" i="11" a="1"/>
  <c r="B937" i="11" a="1"/>
  <c r="B938" i="11" a="1"/>
  <c r="B939" i="11" a="1"/>
  <c r="B940" i="11" a="1"/>
  <c r="B941" i="11" a="1"/>
  <c r="B942" i="11" a="1"/>
  <c r="B943" i="11" a="1"/>
  <c r="B944" i="11" a="1"/>
  <c r="B945" i="11" a="1"/>
  <c r="B946" i="11" a="1"/>
  <c r="B947" i="11" a="1"/>
  <c r="B948" i="11" a="1"/>
  <c r="B949" i="11" a="1"/>
  <c r="B950" i="11" a="1"/>
  <c r="B951" i="11" a="1"/>
  <c r="B952" i="11" a="1"/>
  <c r="B953" i="11" a="1"/>
  <c r="B954" i="11" a="1"/>
  <c r="B955" i="11" a="1"/>
  <c r="B956" i="11" a="1"/>
  <c r="B957" i="11" a="1"/>
  <c r="B958" i="11" a="1"/>
  <c r="B959" i="11" a="1"/>
  <c r="B960" i="11" a="1"/>
  <c r="B961" i="11" a="1"/>
  <c r="B962" i="11" a="1"/>
  <c r="B963" i="11" a="1"/>
  <c r="B964" i="11" a="1"/>
  <c r="B965" i="11" a="1"/>
  <c r="B966" i="11" a="1"/>
  <c r="B967" i="11" a="1"/>
  <c r="B968" i="11" a="1"/>
  <c r="B969" i="11" a="1"/>
  <c r="B970" i="11" a="1"/>
  <c r="B971" i="11" a="1"/>
  <c r="B972" i="11" a="1"/>
  <c r="B973" i="11" a="1"/>
  <c r="B974" i="11" a="1"/>
  <c r="B975" i="11" a="1"/>
  <c r="B976" i="11" a="1"/>
  <c r="B977" i="11" a="1"/>
  <c r="B978" i="11" a="1"/>
  <c r="B979" i="11" a="1"/>
  <c r="B980" i="11" a="1"/>
  <c r="B981" i="11" a="1"/>
  <c r="B982" i="11" a="1"/>
  <c r="B983" i="11" a="1"/>
  <c r="B984" i="11" a="1"/>
  <c r="B985" i="11" a="1"/>
  <c r="B986" i="11" a="1"/>
  <c r="B987" i="11" a="1"/>
  <c r="B988" i="11" a="1"/>
  <c r="B989" i="11" a="1"/>
  <c r="B990" i="11" a="1"/>
  <c r="B991" i="11" a="1"/>
  <c r="B992" i="11" a="1"/>
  <c r="B993" i="11" a="1"/>
  <c r="B994" i="11" a="1"/>
  <c r="B995" i="11" a="1"/>
  <c r="B996" i="11" a="1"/>
  <c r="B997" i="11" a="1"/>
  <c r="B998" i="11" a="1"/>
  <c r="B999" i="11" a="1"/>
  <c r="B1000" i="11" a="1"/>
  <c r="B1001" i="11" a="1"/>
  <c r="B1002" i="11" a="1"/>
  <c r="B1003" i="11" a="1"/>
  <c r="B1004" i="11" a="1"/>
  <c r="B1005" i="11" a="1"/>
  <c r="B1006" i="11" a="1"/>
  <c r="B1007" i="11" a="1"/>
  <c r="B1008" i="11" a="1"/>
  <c r="B1009" i="11" a="1"/>
  <c r="B1010" i="11" a="1"/>
  <c r="B1011" i="11" a="1"/>
  <c r="B1012" i="11" a="1"/>
  <c r="B1013" i="11" a="1"/>
  <c r="B1014" i="11" a="1"/>
  <c r="B1015" i="11" a="1"/>
  <c r="B1016" i="11" a="1"/>
  <c r="B1017" i="11" a="1"/>
  <c r="B1018" i="11" a="1"/>
  <c r="B1019" i="11" a="1"/>
  <c r="B1020" i="11" a="1"/>
  <c r="B1021" i="11" a="1"/>
  <c r="B1022" i="11" a="1"/>
  <c r="B1023" i="11" a="1"/>
  <c r="B1024" i="11" a="1"/>
  <c r="B1025" i="11" a="1"/>
  <c r="B1026" i="11" a="1"/>
  <c r="B1027" i="11" a="1"/>
  <c r="B1028" i="11" a="1"/>
  <c r="B1029" i="11" a="1"/>
  <c r="B1030" i="11" a="1"/>
  <c r="B1031" i="11" a="1"/>
  <c r="B1032" i="11" a="1"/>
  <c r="B1033" i="11" a="1"/>
  <c r="A657" i="11" a="1"/>
  <c r="A658" i="11" a="1"/>
  <c r="A659" i="11" a="1"/>
  <c r="A660" i="11" a="1"/>
  <c r="A661" i="11" a="1"/>
  <c r="A662" i="11" a="1"/>
  <c r="A663" i="11" a="1"/>
  <c r="A664" i="11" a="1"/>
  <c r="A665" i="11" a="1"/>
  <c r="A666" i="11" a="1"/>
  <c r="A667" i="11" a="1"/>
  <c r="A668" i="11" a="1"/>
  <c r="A669" i="11" a="1"/>
  <c r="A670" i="11" a="1"/>
  <c r="A671" i="11" a="1"/>
  <c r="A672" i="11" a="1"/>
  <c r="A673" i="11" a="1"/>
  <c r="A674" i="11" a="1"/>
  <c r="A675" i="11" a="1"/>
  <c r="A676" i="11" a="1"/>
  <c r="A677" i="11" a="1"/>
  <c r="A678" i="11" a="1"/>
  <c r="A679" i="11" a="1"/>
  <c r="A680" i="11" a="1"/>
  <c r="A681" i="11" a="1"/>
  <c r="A682" i="11" a="1"/>
  <c r="A683" i="11" a="1"/>
  <c r="A684" i="11" a="1"/>
  <c r="A685" i="11" a="1"/>
  <c r="A686" i="11" a="1"/>
  <c r="A687" i="11" a="1"/>
  <c r="A688" i="11" a="1"/>
  <c r="A689" i="11" a="1"/>
  <c r="A690" i="11" a="1"/>
  <c r="A691" i="11" a="1"/>
  <c r="A692" i="11" a="1"/>
  <c r="A693" i="11" a="1"/>
  <c r="A694" i="11" a="1"/>
  <c r="A695" i="11" a="1"/>
  <c r="A696" i="11" a="1"/>
  <c r="A697" i="11" a="1"/>
  <c r="A698" i="11" a="1"/>
  <c r="A699" i="11" a="1"/>
  <c r="A700" i="11" a="1"/>
  <c r="A701" i="11" a="1"/>
  <c r="A702" i="11" a="1"/>
  <c r="A703" i="11" a="1"/>
  <c r="A704" i="11" a="1"/>
  <c r="A705" i="11" a="1"/>
  <c r="A706" i="11" a="1"/>
  <c r="A707" i="11" a="1"/>
  <c r="A708" i="11" a="1"/>
  <c r="A709" i="11" a="1"/>
  <c r="A710" i="11" a="1"/>
  <c r="A711" i="11" a="1"/>
  <c r="A712" i="11" a="1"/>
  <c r="A713" i="11" a="1"/>
  <c r="A714" i="11" a="1"/>
  <c r="A715" i="11" a="1"/>
  <c r="A716" i="11" a="1"/>
  <c r="A717" i="11" a="1"/>
  <c r="A718" i="11" a="1"/>
  <c r="A719" i="11" a="1"/>
  <c r="A720" i="11" a="1"/>
  <c r="A721" i="11" a="1"/>
  <c r="A722" i="11" a="1"/>
  <c r="A723" i="11" a="1"/>
  <c r="A724" i="11" a="1"/>
  <c r="A725" i="11" a="1"/>
  <c r="A726" i="11" a="1"/>
  <c r="A727" i="11" a="1"/>
  <c r="A728" i="11" a="1"/>
  <c r="A729" i="11" a="1"/>
  <c r="A730" i="11" a="1"/>
  <c r="A731" i="11" a="1"/>
  <c r="A732" i="11" a="1"/>
  <c r="A733" i="11" a="1"/>
  <c r="A734" i="11" a="1"/>
  <c r="A735" i="11" a="1"/>
  <c r="A736" i="11" a="1"/>
  <c r="A737" i="11" a="1"/>
  <c r="A738" i="11" a="1"/>
  <c r="A739" i="11" a="1"/>
  <c r="A740" i="11" a="1"/>
  <c r="A741" i="11" a="1"/>
  <c r="A742" i="11" a="1"/>
  <c r="A743" i="11" a="1"/>
  <c r="A744" i="11" a="1"/>
  <c r="A745" i="11" a="1"/>
  <c r="A746" i="11" a="1"/>
  <c r="A747" i="11" a="1"/>
  <c r="A748" i="11" a="1"/>
  <c r="A749" i="11" a="1"/>
  <c r="A750" i="11" a="1"/>
  <c r="A751" i="11" a="1"/>
  <c r="A752" i="11" a="1"/>
  <c r="A753" i="11" a="1"/>
  <c r="A754" i="11" a="1"/>
  <c r="A755" i="11" a="1"/>
  <c r="A756" i="11" a="1"/>
  <c r="A757" i="11" a="1"/>
  <c r="A758" i="11" a="1"/>
  <c r="A759" i="11" a="1"/>
  <c r="A760" i="11" a="1"/>
  <c r="A761" i="11" a="1"/>
  <c r="A762" i="11" a="1"/>
  <c r="A763" i="11" a="1"/>
  <c r="A764" i="11" a="1"/>
  <c r="A765" i="11" a="1"/>
  <c r="A766" i="11" a="1"/>
  <c r="A767" i="11" a="1"/>
  <c r="A768" i="11" a="1"/>
  <c r="A769" i="11" a="1"/>
  <c r="A770" i="11" a="1"/>
  <c r="A771" i="11" a="1"/>
  <c r="A772" i="11" a="1"/>
  <c r="A773" i="11" a="1"/>
  <c r="A774" i="11" a="1"/>
  <c r="A775" i="11" a="1"/>
  <c r="A776" i="11" a="1"/>
  <c r="A777" i="11" a="1"/>
  <c r="A778" i="11" a="1"/>
  <c r="A779" i="11" a="1"/>
  <c r="A780" i="11" a="1"/>
  <c r="A781" i="11" a="1"/>
  <c r="A782" i="11" a="1"/>
  <c r="A783" i="11" a="1"/>
  <c r="A784" i="11" a="1"/>
  <c r="A785" i="11" a="1"/>
  <c r="A786" i="11" a="1"/>
  <c r="A787" i="11" a="1"/>
  <c r="A788" i="11" a="1"/>
  <c r="A789" i="11" a="1"/>
  <c r="A790" i="11" a="1"/>
  <c r="A791" i="11" a="1"/>
  <c r="A792" i="11" a="1"/>
  <c r="A793" i="11" a="1"/>
  <c r="A794" i="11" a="1"/>
  <c r="A795" i="11" a="1"/>
  <c r="A796" i="11" a="1"/>
  <c r="A797" i="11" a="1"/>
  <c r="A798" i="11" a="1"/>
  <c r="A799" i="11" a="1"/>
  <c r="A800" i="11" a="1"/>
  <c r="A801" i="11" a="1"/>
  <c r="A802" i="11" a="1"/>
  <c r="A803" i="11" a="1"/>
  <c r="A804" i="11" a="1"/>
  <c r="A805" i="11" a="1"/>
  <c r="A806" i="11" a="1"/>
  <c r="A807" i="11" a="1"/>
  <c r="A808" i="11" a="1"/>
  <c r="A809" i="11" a="1"/>
  <c r="A810" i="11" a="1"/>
  <c r="A811" i="11" a="1"/>
  <c r="A812" i="11" a="1"/>
  <c r="A813" i="11" a="1"/>
  <c r="A814" i="11" a="1"/>
  <c r="A815" i="11" a="1"/>
  <c r="A816" i="11" a="1"/>
  <c r="A817" i="11" a="1"/>
  <c r="A818" i="11" a="1"/>
  <c r="A819" i="11" a="1"/>
  <c r="A820" i="11" a="1"/>
  <c r="A821" i="11" a="1"/>
  <c r="A822" i="11" a="1"/>
  <c r="A823" i="11" a="1"/>
  <c r="A824" i="11" a="1"/>
  <c r="A825" i="11" a="1"/>
  <c r="A826" i="11" a="1"/>
  <c r="A827" i="11" a="1"/>
  <c r="A828" i="11" a="1"/>
  <c r="A829" i="11" a="1"/>
  <c r="A830" i="11" a="1"/>
  <c r="A831" i="11" a="1"/>
  <c r="A832" i="11" a="1"/>
  <c r="A833" i="11" a="1"/>
  <c r="A834" i="11" a="1"/>
  <c r="A835" i="11" a="1"/>
  <c r="A836" i="11" a="1"/>
  <c r="A837" i="11" a="1"/>
  <c r="A838" i="11" a="1"/>
  <c r="A839" i="11" a="1"/>
  <c r="A840" i="11" a="1"/>
  <c r="A841" i="11" a="1"/>
  <c r="A842" i="11" a="1"/>
  <c r="A843" i="11" a="1"/>
  <c r="A844" i="11" a="1"/>
  <c r="A845" i="11" a="1"/>
  <c r="A846" i="11" a="1"/>
  <c r="A847" i="11" a="1"/>
  <c r="A848" i="11" a="1"/>
  <c r="A849" i="11" a="1"/>
  <c r="A850" i="11" a="1"/>
  <c r="A851" i="11" a="1"/>
  <c r="A852" i="11" a="1"/>
  <c r="A853" i="11" a="1"/>
  <c r="A854" i="11" a="1"/>
  <c r="A855" i="11" a="1"/>
  <c r="A856" i="11" a="1"/>
  <c r="A857" i="11" a="1"/>
  <c r="A858" i="11" a="1"/>
  <c r="A859" i="11" a="1"/>
  <c r="A860" i="11" a="1"/>
  <c r="A861" i="11" a="1"/>
  <c r="A862" i="11" a="1"/>
  <c r="A863" i="11" a="1"/>
  <c r="A864" i="11" a="1"/>
  <c r="A865" i="11" a="1"/>
  <c r="A866" i="11" a="1"/>
  <c r="A867" i="11" a="1"/>
  <c r="A868" i="11" a="1"/>
  <c r="A869" i="11" a="1"/>
  <c r="A870" i="11" a="1"/>
  <c r="A871" i="11" a="1"/>
  <c r="A872" i="11" a="1"/>
  <c r="A873" i="11" a="1"/>
  <c r="A874" i="11" a="1"/>
  <c r="A875" i="11" a="1"/>
  <c r="A876" i="11" a="1"/>
  <c r="A877" i="11" a="1"/>
  <c r="A878" i="11" a="1"/>
  <c r="A879" i="11" a="1"/>
  <c r="A880" i="11" a="1"/>
  <c r="A881" i="11" a="1"/>
  <c r="A882" i="11" a="1"/>
  <c r="A883" i="11" a="1"/>
  <c r="A884" i="11" a="1"/>
  <c r="A885" i="11" a="1"/>
  <c r="A886" i="11" a="1"/>
  <c r="A887" i="11" a="1"/>
  <c r="A888" i="11" a="1"/>
  <c r="A889" i="11" a="1"/>
  <c r="A890" i="11" a="1"/>
  <c r="A891" i="11" a="1"/>
  <c r="A892" i="11" a="1"/>
  <c r="A893" i="11" a="1"/>
  <c r="A894" i="11" a="1"/>
  <c r="A895" i="11" a="1"/>
  <c r="A896" i="11" a="1"/>
  <c r="A897" i="11" a="1"/>
  <c r="A898" i="11" a="1"/>
  <c r="A899" i="11" a="1"/>
  <c r="A900" i="11" a="1"/>
  <c r="A901" i="11" a="1"/>
  <c r="A902" i="11" a="1"/>
  <c r="A903" i="11" a="1"/>
  <c r="A904" i="11" a="1"/>
  <c r="A905" i="11" a="1"/>
  <c r="A906" i="11" a="1"/>
  <c r="A907" i="11" a="1"/>
  <c r="A908" i="11" a="1"/>
  <c r="A909" i="11" a="1"/>
  <c r="A910" i="11" a="1"/>
  <c r="A911" i="11" a="1"/>
  <c r="A912" i="11" a="1"/>
  <c r="A913" i="11" a="1"/>
  <c r="A914" i="11" a="1"/>
  <c r="A915" i="11" a="1"/>
  <c r="A916" i="11" a="1"/>
  <c r="A917" i="11" a="1"/>
  <c r="A918" i="11" a="1"/>
  <c r="A919" i="11" a="1"/>
  <c r="A920" i="11" a="1"/>
  <c r="A921" i="11" a="1"/>
  <c r="A922" i="11" a="1"/>
  <c r="A923" i="11" a="1"/>
  <c r="A924" i="11" a="1"/>
  <c r="A925" i="11" a="1"/>
  <c r="A926" i="11" a="1"/>
  <c r="A927" i="11" a="1"/>
  <c r="A928" i="11" a="1"/>
  <c r="A929" i="11" a="1"/>
  <c r="A930" i="11" a="1"/>
  <c r="A931" i="11" a="1"/>
  <c r="A932" i="11" a="1"/>
  <c r="A933" i="11" a="1"/>
  <c r="A934" i="11" a="1"/>
  <c r="A935" i="11" a="1"/>
  <c r="A936" i="11" a="1"/>
  <c r="A937" i="11" a="1"/>
  <c r="A938" i="11" a="1"/>
  <c r="A939" i="11" a="1"/>
  <c r="A940" i="11" a="1"/>
  <c r="A941" i="11" a="1"/>
  <c r="A942" i="11" a="1"/>
  <c r="A943" i="11" a="1"/>
  <c r="A944" i="11" a="1"/>
  <c r="A945" i="11" a="1"/>
  <c r="A946" i="11" a="1"/>
  <c r="A947" i="11" a="1"/>
  <c r="A948" i="11" a="1"/>
  <c r="A949" i="11" a="1"/>
  <c r="A950" i="11" a="1"/>
  <c r="A951" i="11" a="1"/>
  <c r="A952" i="11" a="1"/>
  <c r="A953" i="11" a="1"/>
  <c r="A954" i="11" a="1"/>
  <c r="A955" i="11" a="1"/>
  <c r="A956" i="11" a="1"/>
  <c r="A957" i="11" a="1"/>
  <c r="A958" i="11" a="1"/>
  <c r="A959" i="11" a="1"/>
  <c r="A960" i="11" a="1"/>
  <c r="A961" i="11" a="1"/>
  <c r="A962" i="11" a="1"/>
  <c r="A963" i="11" a="1"/>
  <c r="A964" i="11" a="1"/>
  <c r="A965" i="11" a="1"/>
  <c r="A966" i="11" a="1"/>
  <c r="A967" i="11" a="1"/>
  <c r="A968" i="11" a="1"/>
  <c r="A969" i="11" a="1"/>
  <c r="A970" i="11" a="1"/>
  <c r="A971" i="11" a="1"/>
  <c r="A972" i="11" a="1"/>
  <c r="A973" i="11" a="1"/>
  <c r="A974" i="11" a="1"/>
  <c r="A975" i="11" a="1"/>
  <c r="A976" i="11" a="1"/>
  <c r="A977" i="11" a="1"/>
  <c r="A978" i="11" a="1"/>
  <c r="A979" i="11" a="1"/>
  <c r="A980" i="11" a="1"/>
  <c r="A981" i="11" a="1"/>
  <c r="A982" i="11" a="1"/>
  <c r="A983" i="11" a="1"/>
  <c r="A984" i="11" a="1"/>
  <c r="A985" i="11" a="1"/>
  <c r="A986" i="11" a="1"/>
  <c r="A987" i="11" a="1"/>
  <c r="A988" i="11" a="1"/>
  <c r="A989" i="11" a="1"/>
  <c r="A990" i="11" a="1"/>
  <c r="A991" i="11" a="1"/>
  <c r="A992" i="11" a="1"/>
  <c r="A993" i="11" a="1"/>
  <c r="A994" i="11" a="1"/>
  <c r="A995" i="11" a="1"/>
  <c r="A996" i="11" a="1"/>
  <c r="A997" i="11" a="1"/>
  <c r="A998" i="11" a="1"/>
  <c r="A999" i="11" a="1"/>
  <c r="A1000" i="11" a="1"/>
  <c r="A1001" i="11" a="1"/>
  <c r="A1002" i="11" a="1"/>
  <c r="A1003" i="11" a="1"/>
  <c r="A1004" i="11" a="1"/>
  <c r="A1005" i="11" a="1"/>
  <c r="A1006" i="11" a="1"/>
  <c r="A1007" i="11" a="1"/>
  <c r="A1008" i="11" a="1"/>
  <c r="A1009" i="11" a="1"/>
  <c r="A1010" i="11" a="1"/>
  <c r="A1011" i="11" a="1"/>
  <c r="A1012" i="11" a="1"/>
  <c r="A1013" i="11" a="1"/>
  <c r="A1014" i="11" a="1"/>
  <c r="A1015" i="11" a="1"/>
  <c r="A1016" i="11" a="1"/>
  <c r="A1017" i="11" a="1"/>
  <c r="A1018" i="11" a="1"/>
  <c r="A1019" i="11" a="1"/>
  <c r="A1020" i="11" a="1"/>
  <c r="A1021" i="11" a="1"/>
  <c r="A1022" i="11" a="1"/>
  <c r="A1023" i="11" a="1"/>
  <c r="A1024" i="11" a="1"/>
  <c r="A1025" i="11" a="1"/>
  <c r="A1026" i="11" a="1"/>
  <c r="A1027" i="11" a="1"/>
  <c r="A1028" i="11" a="1"/>
  <c r="A1029" i="11" a="1"/>
  <c r="A1030" i="11" a="1"/>
  <c r="A1031" i="11" a="1"/>
  <c r="A1032" i="11" a="1"/>
  <c r="A1033" i="11" a="1"/>
  <c r="G2" i="6"/>
  <c r="G2" i="10"/>
  <c r="G3" i="10"/>
  <c r="G4" i="10"/>
  <c r="G5" i="10"/>
  <c r="G6" i="10"/>
  <c r="G7" i="10"/>
  <c r="F2" i="10"/>
  <c r="F3" i="10"/>
  <c r="F4" i="10"/>
  <c r="F5" i="10"/>
  <c r="F6" i="10"/>
  <c r="F7" i="10"/>
  <c r="G2" i="3"/>
  <c r="G3" i="3"/>
  <c r="G4" i="3"/>
  <c r="G5" i="3"/>
  <c r="G6" i="3"/>
  <c r="G7" i="3"/>
  <c r="F2" i="3"/>
  <c r="F3" i="3"/>
  <c r="F4" i="3"/>
  <c r="F5" i="3"/>
  <c r="F6" i="3"/>
  <c r="F7" i="3"/>
  <c r="L10" i="1"/>
  <c r="N353" i="9"/>
  <c r="N884" i="9"/>
  <c r="N226" i="9"/>
  <c r="N689" i="9"/>
  <c r="N633" i="9"/>
  <c r="N881" i="9"/>
  <c r="N137" i="9"/>
  <c r="N978" i="9"/>
  <c r="N591" i="9"/>
  <c r="N990" i="9"/>
  <c r="N923" i="9"/>
  <c r="N217" i="9"/>
  <c r="N59" i="9"/>
  <c r="N247" i="9"/>
  <c r="N543" i="9"/>
  <c r="N168" i="9"/>
  <c r="N162" i="9"/>
  <c r="N464" i="9"/>
  <c r="N34" i="9"/>
  <c r="N129" i="9"/>
  <c r="N416" i="9"/>
  <c r="N66" i="9"/>
  <c r="N391" i="9"/>
  <c r="N474" i="9"/>
  <c r="N450" i="9"/>
  <c r="N893" i="9"/>
  <c r="N541" i="9"/>
  <c r="N471" i="9"/>
  <c r="N409" i="9"/>
  <c r="N818" i="9"/>
  <c r="N915" i="9"/>
  <c r="N862" i="9"/>
  <c r="N671" i="9"/>
  <c r="N145" i="9"/>
  <c r="N279" i="9"/>
  <c r="N47" i="9"/>
  <c r="N941" i="9"/>
  <c r="N656" i="9"/>
  <c r="N755" i="9"/>
  <c r="N315" i="9"/>
  <c r="N852" i="9"/>
  <c r="N253" i="9"/>
  <c r="N4" i="9"/>
  <c r="N372" i="9"/>
  <c r="N579" i="9"/>
  <c r="N476" i="9"/>
  <c r="N882" i="9"/>
  <c r="N106" i="9"/>
  <c r="N568" i="9"/>
  <c r="N517" i="9"/>
  <c r="N285" i="9"/>
  <c r="N834" i="9"/>
  <c r="N763" i="9"/>
  <c r="N740" i="9"/>
  <c r="N901" i="9"/>
  <c r="N726" i="9"/>
  <c r="N221" i="9"/>
  <c r="N700" i="9"/>
  <c r="N308" i="9"/>
  <c r="N233" i="9"/>
  <c r="N71" i="9"/>
  <c r="N751" i="9"/>
  <c r="N709" i="9"/>
  <c r="N231" i="9"/>
  <c r="N762" i="9"/>
  <c r="N931" i="9"/>
  <c r="N108" i="9"/>
  <c r="N230" i="9"/>
  <c r="N771" i="9"/>
  <c r="N276" i="9"/>
  <c r="N624" i="9"/>
  <c r="N85" i="9"/>
  <c r="N455" i="9"/>
  <c r="N745" i="9"/>
  <c r="N686" i="9"/>
  <c r="N823" i="9"/>
  <c r="N904" i="9"/>
  <c r="N782" i="9"/>
  <c r="N665" i="9"/>
  <c r="N31" i="9"/>
  <c r="N545" i="9"/>
  <c r="N37" i="9"/>
  <c r="N806" i="9"/>
  <c r="N328" i="9"/>
  <c r="N571" i="9"/>
  <c r="N280" i="9"/>
  <c r="N788" i="9"/>
  <c r="N910" i="9"/>
  <c r="N393" i="9"/>
  <c r="N890" i="9"/>
  <c r="N269" i="9"/>
  <c r="N548" i="9"/>
  <c r="N873" i="9"/>
  <c r="N331" i="9"/>
  <c r="N959" i="9"/>
  <c r="N135" i="9"/>
  <c r="N21" i="9"/>
  <c r="N921" i="9"/>
  <c r="N70" i="9"/>
  <c r="N994" i="9"/>
  <c r="N967" i="9"/>
  <c r="N149" i="9"/>
  <c r="N552" i="9"/>
  <c r="N178" i="9"/>
  <c r="N423" i="9"/>
  <c r="N56" i="9"/>
  <c r="N220" i="9"/>
  <c r="N367" i="9"/>
  <c r="N437" i="9"/>
  <c r="N979" i="9"/>
  <c r="N807" i="9"/>
  <c r="N739" i="9"/>
  <c r="N549" i="9"/>
  <c r="N850" i="9"/>
  <c r="N352" i="9"/>
  <c r="N710" i="9"/>
  <c r="N995" i="9"/>
  <c r="N317" i="9"/>
  <c r="N673" i="9"/>
  <c r="N853" i="9"/>
  <c r="N928" i="9"/>
  <c r="N720" i="9"/>
  <c r="N281" i="9"/>
  <c r="N332" i="9"/>
  <c r="N23" i="9"/>
  <c r="N772" i="9"/>
  <c r="N40" i="9"/>
  <c r="N885" i="9"/>
  <c r="N118" i="9"/>
  <c r="N165" i="9"/>
  <c r="N481" i="9"/>
  <c r="N741" i="9"/>
  <c r="N153" i="9"/>
  <c r="N432" i="9"/>
  <c r="N484" i="9"/>
  <c r="N207" i="9"/>
  <c r="N119" i="9"/>
  <c r="N844" i="9"/>
  <c r="N497" i="9"/>
  <c r="N13" i="9"/>
  <c r="N812" i="9"/>
  <c r="N982" i="9"/>
  <c r="N609" i="9"/>
  <c r="N509" i="9"/>
  <c r="N905" i="9"/>
  <c r="N960" i="9"/>
  <c r="N764" i="9"/>
  <c r="N439" i="9"/>
  <c r="N599" i="9"/>
  <c r="N697" i="9"/>
  <c r="N192" i="9"/>
  <c r="N447" i="9"/>
  <c r="N838" i="9"/>
  <c r="N646" i="9"/>
  <c r="N410" i="9"/>
  <c r="N658" i="9"/>
  <c r="N120" i="9"/>
  <c r="N396" i="9"/>
  <c r="N797" i="9"/>
  <c r="N211" i="9"/>
  <c r="N181" i="9"/>
  <c r="N962" i="9"/>
  <c r="N204" i="9"/>
  <c r="N259" i="9"/>
  <c r="N974" i="9"/>
  <c r="N742" i="9"/>
  <c r="N696" i="9"/>
  <c r="N863" i="9"/>
  <c r="N121" i="9"/>
  <c r="N701" i="9"/>
  <c r="N507" i="9"/>
  <c r="N839" i="9"/>
  <c r="N510" i="9"/>
  <c r="N616" i="9"/>
  <c r="N475" i="9"/>
  <c r="N477" i="9"/>
  <c r="N780" i="9"/>
  <c r="N631" i="9"/>
  <c r="N639" i="9"/>
  <c r="N453" i="9"/>
  <c r="N544" i="9"/>
  <c r="N756" i="9"/>
  <c r="N827" i="9"/>
  <c r="N694" i="9"/>
  <c r="N934" i="9"/>
  <c r="N821" i="9"/>
  <c r="N570" i="9"/>
  <c r="N666" i="9"/>
  <c r="N932" i="9"/>
  <c r="N619" i="9"/>
  <c r="N828" i="9"/>
  <c r="N685" i="9"/>
  <c r="N565" i="9"/>
  <c r="N235" i="9"/>
  <c r="N418" i="9"/>
  <c r="N975" i="9"/>
  <c r="N657" i="9"/>
  <c r="N573" i="9"/>
  <c r="N947" i="9"/>
  <c r="N595" i="9"/>
  <c r="N533" i="9"/>
  <c r="N773" i="9"/>
  <c r="N711" i="9"/>
  <c r="N188" i="9"/>
  <c r="N472" i="9"/>
  <c r="N469" i="9"/>
  <c r="N370" i="9"/>
  <c r="N528" i="9"/>
  <c r="N411" i="9"/>
  <c r="N193" i="9"/>
  <c r="N412" i="9"/>
  <c r="N76" i="9"/>
  <c r="N584" i="9"/>
  <c r="N864" i="9"/>
  <c r="N729" i="9"/>
  <c r="N361" i="9"/>
  <c r="N91" i="9"/>
  <c r="N194" i="9"/>
  <c r="N561" i="9"/>
  <c r="N202" i="9"/>
  <c r="N555" i="9"/>
  <c r="N224" i="9"/>
  <c r="N854" i="9"/>
  <c r="N397" i="9"/>
  <c r="N241" i="9"/>
  <c r="N815" i="9"/>
  <c r="N346" i="9"/>
  <c r="N116" i="9"/>
  <c r="N576" i="9"/>
  <c r="N592" i="9"/>
  <c r="N712" i="9"/>
  <c r="N238" i="9"/>
  <c r="N434" i="9"/>
  <c r="N286" i="9"/>
  <c r="N83" i="9"/>
  <c r="N902" i="9"/>
  <c r="N734" i="9"/>
  <c r="N305" i="9"/>
  <c r="N603" i="9"/>
  <c r="N197" i="9"/>
  <c r="N911" i="9"/>
  <c r="N122" i="9"/>
  <c r="N7" i="9"/>
  <c r="N503" i="9"/>
  <c r="N587" i="9"/>
  <c r="N583" i="9"/>
  <c r="N52" i="9"/>
  <c r="N318" i="9"/>
  <c r="N498" i="9"/>
  <c r="N208" i="9"/>
  <c r="N897" i="9"/>
  <c r="N88" i="9"/>
  <c r="N487" i="9"/>
  <c r="N692" i="9"/>
  <c r="N254" i="9"/>
  <c r="N628" i="9"/>
  <c r="N837" i="9"/>
  <c r="N184" i="9"/>
  <c r="N929" i="9"/>
  <c r="N564" i="9"/>
  <c r="N302" i="9"/>
  <c r="N424" i="9"/>
  <c r="N321" i="9"/>
  <c r="N730" i="9"/>
  <c r="N795" i="9"/>
  <c r="N842" i="9"/>
  <c r="N986" i="9"/>
  <c r="N798" i="9"/>
  <c r="N604" i="9"/>
  <c r="N350" i="9"/>
  <c r="N562" i="9"/>
  <c r="N43" i="9"/>
  <c r="N752" i="9"/>
  <c r="N448" i="9"/>
  <c r="N19" i="9"/>
  <c r="N63" i="9"/>
  <c r="N383" i="9"/>
  <c r="N594" i="9"/>
  <c r="N465" i="9"/>
  <c r="N617" i="9"/>
  <c r="N482" i="9"/>
  <c r="N655" i="9"/>
  <c r="N209" i="9"/>
  <c r="N111" i="9"/>
  <c r="N602" i="9"/>
  <c r="N485" i="9"/>
  <c r="N32" i="9"/>
  <c r="N374" i="9"/>
  <c r="N105" i="9"/>
  <c r="N538" i="9"/>
  <c r="N386" i="9"/>
  <c r="N610" i="9"/>
  <c r="N808" i="9"/>
  <c r="N300" i="9"/>
  <c r="N971" i="9"/>
  <c r="N550" i="9"/>
  <c r="N620" i="9"/>
  <c r="N675" i="9"/>
  <c r="N661" i="9"/>
  <c r="N518" i="9"/>
  <c r="N420" i="9"/>
  <c r="N51" i="9"/>
  <c r="N24" i="9"/>
  <c r="N366" i="9"/>
  <c r="N342" i="9"/>
  <c r="N380" i="9"/>
  <c r="N152" i="9"/>
  <c r="N743" i="9"/>
  <c r="N874" i="9"/>
  <c r="N950" i="9"/>
  <c r="N496" i="9"/>
  <c r="N698" i="9"/>
  <c r="N865" i="9"/>
  <c r="N414" i="9"/>
  <c r="N319" i="9"/>
  <c r="N948" i="9"/>
  <c r="N529" i="9"/>
  <c r="N501" i="9"/>
  <c r="N174" i="9"/>
  <c r="N110" i="9"/>
  <c r="N848" i="9"/>
  <c r="N613" i="9"/>
  <c r="N333" i="9"/>
  <c r="N191" i="9"/>
  <c r="N569" i="9"/>
  <c r="N586" i="9"/>
  <c r="N199" i="9"/>
  <c r="N866" i="9"/>
  <c r="N86" i="9"/>
  <c r="N363" i="9"/>
  <c r="N678" i="9"/>
  <c r="N274" i="9"/>
  <c r="N840" i="9"/>
  <c r="N749" i="9"/>
  <c r="N791" i="9"/>
  <c r="N123" i="9"/>
  <c r="N154" i="9"/>
  <c r="N290" i="9"/>
  <c r="N531" i="9"/>
  <c r="N753" i="9"/>
  <c r="N845" i="9"/>
  <c r="N702" i="9"/>
  <c r="N938" i="9"/>
  <c r="N750" i="9"/>
  <c r="N310" i="9"/>
  <c r="N264" i="9"/>
  <c r="N693" i="9"/>
  <c r="N189" i="9"/>
  <c r="N95" i="9"/>
  <c r="N539" i="9"/>
  <c r="N829" i="9"/>
  <c r="N99" i="9"/>
  <c r="N799" i="9"/>
  <c r="N816" i="9"/>
  <c r="N483" i="9"/>
  <c r="N60" i="9"/>
  <c r="N171" i="9"/>
  <c r="N703" i="9"/>
  <c r="N707" i="9"/>
  <c r="N918" i="9"/>
  <c r="N588" i="9"/>
  <c r="N136" i="9"/>
  <c r="N134" i="9"/>
  <c r="N727" i="9"/>
  <c r="N180" i="9"/>
  <c r="N336" i="9"/>
  <c r="N490" i="9"/>
  <c r="N22" i="9"/>
  <c r="N242" i="9"/>
  <c r="N406" i="9"/>
  <c r="N282" i="9"/>
  <c r="N143" i="9"/>
  <c r="N737" i="9"/>
  <c r="N813" i="9"/>
  <c r="N255" i="9"/>
  <c r="N784" i="9"/>
  <c r="N378" i="9"/>
  <c r="N511" i="9"/>
  <c r="N878" i="9"/>
  <c r="N754" i="9"/>
  <c r="N809" i="9"/>
  <c r="N150" i="9"/>
  <c r="N73" i="9"/>
  <c r="N914" i="9"/>
  <c r="N379" i="9"/>
  <c r="N291" i="9"/>
  <c r="N728" i="9"/>
  <c r="N846" i="9"/>
  <c r="N886" i="9"/>
  <c r="N323" i="9"/>
  <c r="N867" i="9"/>
  <c r="N41" i="9"/>
  <c r="N46" i="9"/>
  <c r="N626" i="9"/>
  <c r="N67" i="9"/>
  <c r="N335" i="9"/>
  <c r="N664" i="9"/>
  <c r="N339" i="9"/>
  <c r="N176" i="9"/>
  <c r="N287" i="9"/>
  <c r="N458" i="9"/>
  <c r="N478" i="9"/>
  <c r="N789" i="9"/>
  <c r="N765" i="9"/>
  <c r="N462" i="9"/>
  <c r="N855" i="9"/>
  <c r="N115" i="9"/>
  <c r="N244" i="9"/>
  <c r="N841" i="9"/>
  <c r="N373" i="9"/>
  <c r="N985" i="9"/>
  <c r="N466" i="9"/>
  <c r="N796" i="9"/>
  <c r="N395" i="9"/>
  <c r="N419" i="9"/>
  <c r="N376" i="9"/>
  <c r="N716" i="9"/>
  <c r="N563" i="9"/>
  <c r="N953" i="9"/>
  <c r="N245" i="9"/>
  <c r="N101" i="9"/>
  <c r="N384" i="9"/>
  <c r="N614" i="9"/>
  <c r="N872" i="9"/>
  <c r="N355" i="9"/>
  <c r="N649" i="9"/>
  <c r="N359" i="9"/>
  <c r="N621" i="9"/>
  <c r="N908" i="9"/>
  <c r="N222" i="9"/>
  <c r="N403" i="9"/>
  <c r="N997" i="9"/>
  <c r="N898" i="9"/>
  <c r="N572" i="9"/>
  <c r="N530" i="9"/>
  <c r="N283" i="9"/>
  <c r="N526" i="9"/>
  <c r="N856" i="9"/>
  <c r="N677" i="9"/>
  <c r="N293" i="9"/>
  <c r="N196" i="9"/>
  <c r="N266" i="9"/>
  <c r="N167" i="9"/>
  <c r="N93" i="9"/>
  <c r="N413" i="9"/>
  <c r="N112" i="9"/>
  <c r="N170" i="9"/>
  <c r="N558" i="9"/>
  <c r="N164" i="9"/>
  <c r="N65" i="9"/>
  <c r="N324" i="9"/>
  <c r="N210" i="9"/>
  <c r="N527" i="9"/>
  <c r="N102" i="9"/>
  <c r="N766" i="9"/>
  <c r="N922" i="9"/>
  <c r="N746" i="9"/>
  <c r="N546" i="9"/>
  <c r="N875" i="9"/>
  <c r="N690" i="9"/>
  <c r="N14" i="9"/>
  <c r="N392" i="9"/>
  <c r="N868" i="9"/>
  <c r="N354" i="9"/>
  <c r="N38" i="9"/>
  <c r="N757" i="9"/>
  <c r="N805" i="9"/>
  <c r="N161" i="9"/>
  <c r="N553" i="9"/>
  <c r="N190" i="9"/>
  <c r="N717" i="9"/>
  <c r="N270" i="9"/>
  <c r="N326" i="9"/>
  <c r="N857" i="9"/>
  <c r="N479" i="9"/>
  <c r="N670" i="9"/>
  <c r="N398" i="9"/>
  <c r="N306" i="9"/>
  <c r="N627" i="9"/>
  <c r="N158" i="9"/>
  <c r="N369" i="9"/>
  <c r="N206" i="9"/>
  <c r="N695" i="9"/>
  <c r="N954" i="9"/>
  <c r="N991" i="9"/>
  <c r="N451" i="9"/>
  <c r="N248" i="9"/>
  <c r="N435" i="9"/>
  <c r="N858" i="9"/>
  <c r="N201" i="9"/>
  <c r="N963" i="9"/>
  <c r="N348" i="9"/>
  <c r="N988" i="9"/>
  <c r="N849" i="9"/>
  <c r="N810" i="9"/>
  <c r="N327" i="9"/>
  <c r="N8" i="9"/>
  <c r="N377" i="9"/>
  <c r="N307" i="9"/>
  <c r="N35" i="9"/>
  <c r="N512" i="9"/>
  <c r="N407" i="9"/>
  <c r="N638" i="9"/>
  <c r="N625" i="9"/>
  <c r="N131" i="9"/>
  <c r="N980" i="9"/>
  <c r="N186" i="9"/>
  <c r="N441" i="9"/>
  <c r="N491" i="9"/>
  <c r="N814" i="9"/>
  <c r="N100" i="9"/>
  <c r="N425" i="9"/>
  <c r="N634" i="9"/>
  <c r="N213" i="9"/>
  <c r="N635" i="9"/>
  <c r="N933" i="9"/>
  <c r="N1000" i="9"/>
  <c r="N39" i="9"/>
  <c r="N227" i="9"/>
  <c r="N314" i="9"/>
  <c r="N394" i="9"/>
  <c r="N234" i="9"/>
  <c r="N200" i="9"/>
  <c r="N968" i="9"/>
  <c r="N930" i="9"/>
  <c r="N45" i="9"/>
  <c r="N349" i="9"/>
  <c r="N402" i="9"/>
  <c r="N237" i="9"/>
  <c r="N636" i="9"/>
  <c r="N642" i="9"/>
  <c r="N869" i="9"/>
  <c r="N747" i="9"/>
  <c r="N556" i="9"/>
  <c r="N650" i="9"/>
  <c r="N278" i="9"/>
  <c r="N600" i="9"/>
  <c r="N488" i="9"/>
  <c r="N147" i="9"/>
  <c r="N239" i="9"/>
  <c r="N297" i="9"/>
  <c r="N935" i="9"/>
  <c r="N223" i="9"/>
  <c r="N294" i="9"/>
  <c r="N368" i="9"/>
  <c r="N660" i="9"/>
  <c r="N124" i="9"/>
  <c r="N964" i="9"/>
  <c r="N887" i="9"/>
  <c r="N585" i="9"/>
  <c r="N674" i="9"/>
  <c r="N20" i="9"/>
  <c r="N351" i="9"/>
  <c r="N800" i="9"/>
  <c r="N82" i="9"/>
  <c r="N288" i="9"/>
  <c r="N597" i="9"/>
  <c r="N258" i="9"/>
  <c r="N943" i="9"/>
  <c r="N138" i="9"/>
  <c r="N804" i="9"/>
  <c r="N506" i="9"/>
  <c r="N767" i="9"/>
  <c r="N316" i="9"/>
  <c r="N519" i="9"/>
  <c r="N879" i="9"/>
  <c r="N463" i="9"/>
  <c r="N362" i="9"/>
  <c r="N547" i="9"/>
  <c r="N718" i="9"/>
  <c r="N433" i="9"/>
  <c r="N951" i="9"/>
  <c r="N295" i="9"/>
  <c r="N480" i="9"/>
  <c r="N776" i="9"/>
  <c r="N681" i="9"/>
  <c r="N888" i="9"/>
  <c r="N992" i="9"/>
  <c r="N421" i="9"/>
  <c r="N113" i="9"/>
  <c r="N28" i="9"/>
  <c r="N738" i="9"/>
  <c r="N903" i="9"/>
  <c r="N216" i="9"/>
  <c r="N159" i="9"/>
  <c r="N69" i="9"/>
  <c r="N835" i="9"/>
  <c r="N322" i="9"/>
  <c r="N399" i="9"/>
  <c r="N504" i="9"/>
  <c r="N847" i="9"/>
  <c r="N648" i="9"/>
  <c r="N618" i="9"/>
  <c r="N172" i="9"/>
  <c r="N514" i="9"/>
  <c r="N721" i="9"/>
  <c r="N977" i="9"/>
  <c r="N198" i="9"/>
  <c r="N15" i="9"/>
  <c r="N80" i="9"/>
  <c r="N371" i="9"/>
  <c r="N819" i="9"/>
  <c r="N5" i="9"/>
  <c r="N459" i="9"/>
  <c r="N337" i="9"/>
  <c r="N49" i="9"/>
  <c r="N452" i="9"/>
  <c r="N246" i="9"/>
  <c r="N360" i="9"/>
  <c r="N704" i="9"/>
  <c r="N534" i="9"/>
  <c r="N128" i="9"/>
  <c r="N970" i="9"/>
  <c r="N640" i="9"/>
  <c r="N778" i="9"/>
  <c r="N78" i="9"/>
  <c r="N48" i="9"/>
  <c r="N17" i="9"/>
  <c r="N185" i="9"/>
  <c r="N408" i="9"/>
  <c r="N944" i="9"/>
  <c r="N460" i="9"/>
  <c r="N292" i="9"/>
  <c r="N574" i="9"/>
  <c r="N114" i="9"/>
  <c r="N611" i="9"/>
  <c r="N575" i="9"/>
  <c r="N801" i="9"/>
  <c r="N987" i="9"/>
  <c r="N252" i="9"/>
  <c r="N513" i="9"/>
  <c r="N926" i="9"/>
  <c r="N787" i="9"/>
  <c r="N492" i="9"/>
  <c r="N955" i="9"/>
  <c r="N62" i="9"/>
  <c r="N942" i="9"/>
  <c r="N53" i="9"/>
  <c r="N559" i="9"/>
  <c r="N913" i="9"/>
  <c r="N267" i="9"/>
  <c r="N470" i="9"/>
  <c r="N334" i="9"/>
  <c r="N961" i="9"/>
  <c r="N830" i="9"/>
  <c r="N715" i="9"/>
  <c r="N598" i="9"/>
  <c r="N831" i="9"/>
  <c r="N388" i="9"/>
  <c r="N442" i="9"/>
  <c r="N735" i="9"/>
  <c r="N364" i="9"/>
  <c r="N64" i="9"/>
  <c r="N77" i="9"/>
  <c r="N125" i="9"/>
  <c r="N894" i="9"/>
  <c r="N473" i="9"/>
  <c r="N713" i="9"/>
  <c r="N389" i="9"/>
  <c r="N257" i="9"/>
  <c r="N356" i="9"/>
  <c r="N802" i="9"/>
  <c r="N622" i="9"/>
  <c r="N945" i="9"/>
  <c r="N680" i="9"/>
  <c r="N580" i="9"/>
  <c r="N612" i="9"/>
  <c r="N952" i="9"/>
  <c r="N792" i="9"/>
  <c r="N25" i="9"/>
  <c r="N551" i="9"/>
  <c r="N687" i="9"/>
  <c r="N758" i="9"/>
  <c r="N203" i="9"/>
  <c r="N889" i="9"/>
  <c r="N965" i="9"/>
  <c r="N232" i="9"/>
  <c r="N909" i="9"/>
  <c r="N92" i="9"/>
  <c r="N54" i="9"/>
  <c r="N139" i="9"/>
  <c r="N61" i="9"/>
  <c r="N859" i="9"/>
  <c r="N57" i="9"/>
  <c r="N271" i="9"/>
  <c r="N109" i="9"/>
  <c r="N298" i="9"/>
  <c r="N90" i="9"/>
  <c r="N669" i="9"/>
  <c r="N146" i="9"/>
  <c r="N870" i="9"/>
  <c r="N824" i="9"/>
  <c r="N16" i="9"/>
  <c r="N916" i="9"/>
  <c r="N29" i="9"/>
  <c r="N236" i="9"/>
  <c r="N36" i="9"/>
  <c r="N344" i="9"/>
  <c r="N520" i="9"/>
  <c r="N803" i="9"/>
  <c r="N340" i="9"/>
  <c r="N705" i="9"/>
  <c r="N183" i="9"/>
  <c r="N768" i="9"/>
  <c r="N228" i="9"/>
  <c r="N151" i="9"/>
  <c r="N182" i="9"/>
  <c r="N179" i="9"/>
  <c r="N515" i="9"/>
  <c r="N860" i="9"/>
  <c r="N87" i="9"/>
  <c r="N706" i="9"/>
  <c r="N651" i="9"/>
  <c r="N895" i="9"/>
  <c r="N240" i="9"/>
  <c r="N454" i="9"/>
  <c r="N936" i="9"/>
  <c r="N653" i="9"/>
  <c r="N381" i="9"/>
  <c r="N141" i="9"/>
  <c r="N262" i="9"/>
  <c r="N593" i="9"/>
  <c r="N725" i="9"/>
  <c r="N130" i="9"/>
  <c r="N605" i="9"/>
  <c r="N566" i="9"/>
  <c r="N521" i="9"/>
  <c r="N688" i="9"/>
  <c r="N843" i="9"/>
  <c r="N329" i="9"/>
  <c r="N912" i="9"/>
  <c r="N160" i="9"/>
  <c r="N166" i="9"/>
  <c r="N265" i="9"/>
  <c r="N126" i="9"/>
  <c r="N225" i="9"/>
  <c r="N104" i="9"/>
  <c r="N832" i="9"/>
  <c r="N156" i="9"/>
  <c r="N759" i="9"/>
  <c r="N44" i="9"/>
  <c r="N956" i="9"/>
  <c r="N714" i="9"/>
  <c r="N10" i="9"/>
  <c r="N779" i="9"/>
  <c r="N525" i="9"/>
  <c r="N783" i="9"/>
  <c r="N537" i="9"/>
  <c r="N643" i="9"/>
  <c r="N794" i="9"/>
  <c r="N404" i="9"/>
  <c r="N2" i="9"/>
  <c r="N861" i="9"/>
  <c r="N375" i="9"/>
  <c r="N495" i="9"/>
  <c r="N9" i="9"/>
  <c r="N493" i="9"/>
  <c r="N989" i="9"/>
  <c r="N275" i="9"/>
  <c r="N387" i="9"/>
  <c r="N684" i="9"/>
  <c r="N822" i="9"/>
  <c r="N415" i="9"/>
  <c r="N320" i="9"/>
  <c r="N946" i="9"/>
  <c r="N672" i="9"/>
  <c r="N127" i="9"/>
  <c r="N74" i="9"/>
  <c r="N486" i="9"/>
  <c r="N215" i="9"/>
  <c r="N249" i="9"/>
  <c r="N906" i="9"/>
  <c r="N89" i="9"/>
  <c r="N722" i="9"/>
  <c r="N273" i="9"/>
  <c r="N774" i="9"/>
  <c r="N731" i="9"/>
  <c r="N6" i="9"/>
  <c r="N516" i="9"/>
  <c r="N157" i="9"/>
  <c r="N880" i="9"/>
  <c r="N899" i="9"/>
  <c r="N417" i="9"/>
  <c r="N443" i="9"/>
  <c r="N312" i="9"/>
  <c r="N723" i="9"/>
  <c r="N365" i="9"/>
  <c r="N272" i="9"/>
  <c r="N428" i="9"/>
  <c r="N97" i="9"/>
  <c r="N760" i="9"/>
  <c r="N11" i="9"/>
  <c r="N645" i="9"/>
  <c r="N177" i="9"/>
  <c r="N229" i="9"/>
  <c r="N641" i="9"/>
  <c r="N993" i="9"/>
  <c r="N785" i="9"/>
  <c r="N218" i="9"/>
  <c r="N173" i="9"/>
  <c r="N891" i="9"/>
  <c r="N444" i="9"/>
  <c r="N142" i="9"/>
  <c r="N883" i="9"/>
  <c r="N825" i="9"/>
  <c r="N984" i="9"/>
  <c r="N924" i="9"/>
  <c r="N871" i="9"/>
  <c r="N50" i="9"/>
  <c r="N107" i="9"/>
  <c r="N581" i="9"/>
  <c r="N540" i="9"/>
  <c r="N461" i="9"/>
  <c r="N390" i="9"/>
  <c r="N422" i="9"/>
  <c r="N582" i="9"/>
  <c r="N3" i="9"/>
  <c r="N256" i="9"/>
  <c r="N532" i="9"/>
  <c r="N732" i="9"/>
  <c r="N175" i="9"/>
  <c r="N560" i="9"/>
  <c r="N708" i="9"/>
  <c r="N438" i="9"/>
  <c r="N30" i="9"/>
  <c r="N445" i="9"/>
  <c r="N296" i="9"/>
  <c r="N937" i="9"/>
  <c r="N132" i="9"/>
  <c r="N647" i="9"/>
  <c r="N55" i="9"/>
  <c r="N446" i="9"/>
  <c r="N567" i="9"/>
  <c r="N303" i="9"/>
  <c r="N456" i="9"/>
  <c r="N163" i="9"/>
  <c r="N309" i="9"/>
  <c r="N629" i="9"/>
  <c r="N304" i="9"/>
  <c r="N920" i="9"/>
  <c r="N637" i="9"/>
  <c r="N431" i="9"/>
  <c r="N42" i="9"/>
  <c r="N500" i="9"/>
  <c r="N777" i="9"/>
  <c r="N261" i="9"/>
  <c r="N811" i="9"/>
  <c r="N250" i="9"/>
  <c r="N826" i="9"/>
  <c r="N84" i="9"/>
  <c r="N892" i="9"/>
  <c r="N499" i="9"/>
  <c r="N299" i="9"/>
  <c r="N263" i="9"/>
  <c r="N426" i="9"/>
  <c r="N998" i="9"/>
  <c r="N214" i="9"/>
  <c r="N103" i="9"/>
  <c r="N589" i="9"/>
  <c r="N489" i="9"/>
  <c r="N535" i="9"/>
  <c r="N662" i="9"/>
  <c r="N268" i="9"/>
  <c r="N927" i="9"/>
  <c r="N429" i="9"/>
  <c r="N140" i="9"/>
  <c r="N748" i="9"/>
  <c r="N644" i="9"/>
  <c r="N325" i="9"/>
  <c r="N623" i="9"/>
  <c r="N212" i="9"/>
  <c r="N449" i="9"/>
  <c r="N919" i="9"/>
  <c r="N148" i="9"/>
  <c r="N382" i="9"/>
  <c r="N833" i="9"/>
  <c r="N976" i="9"/>
  <c r="N457" i="9"/>
  <c r="N508" i="9"/>
  <c r="N577" i="9"/>
  <c r="N939" i="9"/>
  <c r="N876" i="9"/>
  <c r="N169" i="9"/>
  <c r="N430" i="9"/>
  <c r="N467" i="9"/>
  <c r="N793" i="9"/>
  <c r="N606" i="9"/>
  <c r="N652" i="9"/>
  <c r="N1001" i="9"/>
  <c r="N81" i="9"/>
  <c r="N219" i="9"/>
  <c r="N405" i="9"/>
  <c r="N357" i="9"/>
  <c r="N27" i="9"/>
  <c r="N94" i="9"/>
  <c r="N679" i="9"/>
  <c r="N907" i="9"/>
  <c r="N522" i="9"/>
  <c r="N554" i="9"/>
  <c r="N243" i="9"/>
  <c r="N781" i="9"/>
  <c r="N769" i="9"/>
  <c r="N596" i="9"/>
  <c r="N205" i="9"/>
  <c r="N96" i="9"/>
  <c r="N68" i="9"/>
  <c r="N601" i="9"/>
  <c r="N836" i="9"/>
  <c r="N877" i="9"/>
  <c r="N468" i="9"/>
  <c r="N790" i="9"/>
  <c r="N957" i="9"/>
  <c r="N277" i="9"/>
  <c r="N401" i="9"/>
  <c r="N940" i="9"/>
  <c r="N343" i="9"/>
  <c r="N925" i="9"/>
  <c r="N983" i="9"/>
  <c r="N663" i="9"/>
  <c r="N820" i="9"/>
  <c r="N761" i="9"/>
  <c r="N699" i="9"/>
  <c r="N313" i="9"/>
  <c r="N58" i="9"/>
  <c r="N347" i="9"/>
  <c r="N659" i="9"/>
  <c r="N98" i="9"/>
  <c r="N12" i="9"/>
  <c r="N155" i="9"/>
  <c r="N724" i="9"/>
  <c r="N973" i="9"/>
  <c r="N981" i="9"/>
  <c r="N494" i="9"/>
  <c r="N900" i="9"/>
  <c r="N744" i="9"/>
  <c r="N502" i="9"/>
  <c r="N578" i="9"/>
  <c r="N144" i="9"/>
  <c r="N949" i="9"/>
  <c r="N358" i="9"/>
  <c r="N440" i="9"/>
  <c r="N667" i="9"/>
  <c r="N341" i="9"/>
  <c r="N251" i="9"/>
  <c r="N630" i="9"/>
  <c r="N26" i="9"/>
  <c r="N733" i="9"/>
  <c r="N523" i="9"/>
  <c r="N608" i="9"/>
  <c r="N632" i="9"/>
  <c r="N542" i="9"/>
  <c r="N590" i="9"/>
  <c r="N676" i="9"/>
  <c r="N770" i="9"/>
  <c r="N736" i="9"/>
  <c r="N896" i="9"/>
  <c r="N187" i="9"/>
  <c r="N400" i="9"/>
  <c r="N958" i="9"/>
  <c r="N385" i="9"/>
  <c r="N133" i="9"/>
  <c r="N536" i="9"/>
  <c r="N117" i="9"/>
  <c r="N195" i="9"/>
  <c r="N999" i="9"/>
  <c r="N557" i="9"/>
  <c r="N284" i="9"/>
  <c r="N996" i="9"/>
  <c r="N972" i="9"/>
  <c r="N436" i="9"/>
  <c r="N260" i="9"/>
  <c r="N851" i="9"/>
  <c r="N719" i="9"/>
  <c r="N682" i="9"/>
  <c r="N917" i="9"/>
  <c r="N683" i="9"/>
  <c r="N289" i="9"/>
  <c r="N691" i="9"/>
  <c r="N311" i="9"/>
  <c r="N775" i="9"/>
  <c r="N615" i="9"/>
  <c r="N79" i="9"/>
  <c r="N524" i="9"/>
  <c r="N345" i="9"/>
  <c r="N338" i="9"/>
  <c r="N607" i="9"/>
  <c r="N330" i="9"/>
  <c r="N786" i="9"/>
  <c r="N75" i="9"/>
  <c r="N654" i="9"/>
  <c r="N817" i="9"/>
  <c r="N668" i="9"/>
  <c r="N505" i="9"/>
  <c r="N966" i="9"/>
  <c r="N301" i="9"/>
  <c r="N18" i="9"/>
  <c r="N427" i="9"/>
  <c r="N33" i="9"/>
  <c r="N969" i="9"/>
  <c r="N72" i="9"/>
  <c r="G3" i="7"/>
  <c r="G4" i="7"/>
  <c r="G5" i="7"/>
  <c r="G6" i="7"/>
  <c r="G2" i="7"/>
  <c r="G3" i="6"/>
  <c r="G4" i="6"/>
  <c r="G5" i="6"/>
  <c r="G6" i="6"/>
  <c r="C3" i="5"/>
  <c r="C2" i="5"/>
  <c r="B3" i="5"/>
  <c r="B2" i="5"/>
  <c r="F6" i="1"/>
  <c r="F8" i="1"/>
  <c r="F4" i="1"/>
  <c r="F3" i="1"/>
  <c r="F9" i="1"/>
  <c r="F2" i="1"/>
  <c r="F5" i="1"/>
  <c r="F7" i="1"/>
  <c r="E6" i="1"/>
  <c r="E8" i="1"/>
  <c r="E4" i="1"/>
  <c r="E3" i="1"/>
  <c r="E9" i="1"/>
  <c r="E2" i="1"/>
  <c r="E5" i="1"/>
  <c r="E7" i="1"/>
  <c r="D6" i="1"/>
  <c r="D8" i="1"/>
  <c r="D4" i="1"/>
  <c r="D3" i="1"/>
  <c r="D9" i="1"/>
  <c r="D2" i="1"/>
  <c r="D5" i="1"/>
  <c r="I5" i="1" s="1"/>
  <c r="D7" i="1"/>
  <c r="C6" i="1"/>
  <c r="C8" i="1"/>
  <c r="C4" i="1"/>
  <c r="C3" i="1"/>
  <c r="C9" i="1"/>
  <c r="C2" i="1"/>
  <c r="C5" i="1"/>
  <c r="C7" i="1"/>
  <c r="B6" i="1"/>
  <c r="B8" i="1"/>
  <c r="B4" i="1"/>
  <c r="B3" i="1"/>
  <c r="B9" i="1"/>
  <c r="B2" i="1"/>
  <c r="B5" i="1"/>
  <c r="B7" i="1"/>
  <c r="K969" i="9"/>
  <c r="K33" i="9"/>
  <c r="K427" i="9"/>
  <c r="L427" i="9" s="1"/>
  <c r="K18" i="9"/>
  <c r="K301" i="9"/>
  <c r="L301" i="9" s="1"/>
  <c r="K966" i="9"/>
  <c r="L966" i="9" s="1"/>
  <c r="K505" i="9"/>
  <c r="K668" i="9"/>
  <c r="K817" i="9"/>
  <c r="L817" i="9" s="1"/>
  <c r="K654" i="9"/>
  <c r="K75" i="9"/>
  <c r="K786" i="9"/>
  <c r="L786" i="9" s="1"/>
  <c r="K330" i="9"/>
  <c r="K607" i="9"/>
  <c r="K338" i="9"/>
  <c r="K345" i="9"/>
  <c r="L345" i="9" s="1"/>
  <c r="K524" i="9"/>
  <c r="K79" i="9"/>
  <c r="A54" i="11" s="1" a="1"/>
  <c r="K615" i="9"/>
  <c r="K775" i="9"/>
  <c r="L775" i="9" s="1"/>
  <c r="K311" i="9"/>
  <c r="K691" i="9"/>
  <c r="L691" i="9" s="1"/>
  <c r="K289" i="9"/>
  <c r="K683" i="9"/>
  <c r="L683" i="9" s="1"/>
  <c r="K917" i="9"/>
  <c r="L917" i="9" s="1"/>
  <c r="K682" i="9"/>
  <c r="K719" i="9"/>
  <c r="K851" i="9"/>
  <c r="L851" i="9" s="1"/>
  <c r="K260" i="9"/>
  <c r="K436" i="9"/>
  <c r="K972" i="9"/>
  <c r="K996" i="9"/>
  <c r="K284" i="9"/>
  <c r="K557" i="9"/>
  <c r="K999" i="9"/>
  <c r="L999" i="9" s="1"/>
  <c r="K195" i="9"/>
  <c r="K117" i="9"/>
  <c r="K536" i="9"/>
  <c r="K133" i="9"/>
  <c r="L133" i="9" s="1"/>
  <c r="K385" i="9"/>
  <c r="L385" i="9" s="1"/>
  <c r="K958" i="9"/>
  <c r="K400" i="9"/>
  <c r="L400" i="9" s="1"/>
  <c r="K187" i="9"/>
  <c r="K896" i="9"/>
  <c r="L896" i="9" s="1"/>
  <c r="K736" i="9"/>
  <c r="K770" i="9"/>
  <c r="K676" i="9"/>
  <c r="K590" i="9"/>
  <c r="K542" i="9"/>
  <c r="K632" i="9"/>
  <c r="K608" i="9"/>
  <c r="K523" i="9"/>
  <c r="K733" i="9"/>
  <c r="L733" i="9" s="1"/>
  <c r="K26" i="9"/>
  <c r="K630" i="9"/>
  <c r="K251" i="9"/>
  <c r="K341" i="9"/>
  <c r="L341" i="9" s="1"/>
  <c r="K667" i="9"/>
  <c r="K440" i="9"/>
  <c r="L440" i="9" s="1"/>
  <c r="K358" i="9"/>
  <c r="L358" i="9" s="1"/>
  <c r="K949" i="9"/>
  <c r="L949" i="9" s="1"/>
  <c r="K144" i="9"/>
  <c r="K578" i="9"/>
  <c r="K502" i="9"/>
  <c r="K744" i="9"/>
  <c r="L744" i="9" s="1"/>
  <c r="K900" i="9"/>
  <c r="L900" i="9" s="1"/>
  <c r="K494" i="9"/>
  <c r="K981" i="9"/>
  <c r="L981" i="9" s="1"/>
  <c r="K973" i="9"/>
  <c r="L973" i="9" s="1"/>
  <c r="K724" i="9"/>
  <c r="K155" i="9"/>
  <c r="K12" i="9"/>
  <c r="K98" i="9"/>
  <c r="A68" i="11" s="1" a="1"/>
  <c r="K659" i="9"/>
  <c r="K347" i="9"/>
  <c r="K58" i="9"/>
  <c r="K313" i="9"/>
  <c r="K699" i="9"/>
  <c r="K761" i="9"/>
  <c r="K820" i="9"/>
  <c r="L820" i="9" s="1"/>
  <c r="K663" i="9"/>
  <c r="K983" i="9"/>
  <c r="L983" i="9" s="1"/>
  <c r="K925" i="9"/>
  <c r="L925" i="9" s="1"/>
  <c r="K343" i="9"/>
  <c r="L343" i="9" s="1"/>
  <c r="K940" i="9"/>
  <c r="K401" i="9"/>
  <c r="L401" i="9" s="1"/>
  <c r="K277" i="9"/>
  <c r="L277" i="9" s="1"/>
  <c r="K957" i="9"/>
  <c r="L957" i="9" s="1"/>
  <c r="K790" i="9"/>
  <c r="L790" i="9" s="1"/>
  <c r="K468" i="9"/>
  <c r="K877" i="9"/>
  <c r="K836" i="9"/>
  <c r="K601" i="9"/>
  <c r="K68" i="9"/>
  <c r="K96" i="9"/>
  <c r="K205" i="9"/>
  <c r="K596" i="9"/>
  <c r="K769" i="9"/>
  <c r="K781" i="9"/>
  <c r="L781" i="9" s="1"/>
  <c r="K243" i="9"/>
  <c r="K554" i="9"/>
  <c r="K522" i="9"/>
  <c r="K907" i="9"/>
  <c r="L907" i="9" s="1"/>
  <c r="K679" i="9"/>
  <c r="K94" i="9"/>
  <c r="K27" i="9"/>
  <c r="K357" i="9"/>
  <c r="L357" i="9" s="1"/>
  <c r="K405" i="9"/>
  <c r="L405" i="9" s="1"/>
  <c r="K219" i="9"/>
  <c r="K81" i="9"/>
  <c r="K1001" i="9"/>
  <c r="K652" i="9"/>
  <c r="K606" i="9"/>
  <c r="K793" i="9"/>
  <c r="L793" i="9" s="1"/>
  <c r="K467" i="9"/>
  <c r="K430" i="9"/>
  <c r="K169" i="9"/>
  <c r="K876" i="9"/>
  <c r="K939" i="9"/>
  <c r="K577" i="9"/>
  <c r="K508" i="9"/>
  <c r="K457" i="9"/>
  <c r="K976" i="9"/>
  <c r="K833" i="9"/>
  <c r="K382" i="9"/>
  <c r="K148" i="9"/>
  <c r="K919" i="9"/>
  <c r="K449" i="9"/>
  <c r="K212" i="9"/>
  <c r="K623" i="9"/>
  <c r="K325" i="9"/>
  <c r="K644" i="9"/>
  <c r="K748" i="9"/>
  <c r="K140" i="9"/>
  <c r="K429" i="9"/>
  <c r="K927" i="9"/>
  <c r="K268" i="9"/>
  <c r="K662" i="9"/>
  <c r="K535" i="9"/>
  <c r="K489" i="9"/>
  <c r="K589" i="9"/>
  <c r="K103" i="9"/>
  <c r="K214" i="9"/>
  <c r="K998" i="9"/>
  <c r="K426" i="9"/>
  <c r="K263" i="9"/>
  <c r="K299" i="9"/>
  <c r="K499" i="9"/>
  <c r="K892" i="9"/>
  <c r="K84" i="9"/>
  <c r="K826" i="9"/>
  <c r="K250" i="9"/>
  <c r="K811" i="9"/>
  <c r="K261" i="9"/>
  <c r="K777" i="9"/>
  <c r="K500" i="9"/>
  <c r="K42" i="9"/>
  <c r="K431" i="9"/>
  <c r="K637" i="9"/>
  <c r="K920" i="9"/>
  <c r="K304" i="9"/>
  <c r="K629" i="9"/>
  <c r="K309" i="9"/>
  <c r="L309" i="9" s="1"/>
  <c r="K163" i="9"/>
  <c r="K456" i="9"/>
  <c r="K303" i="9"/>
  <c r="L303" i="9" s="1"/>
  <c r="K567" i="9"/>
  <c r="K446" i="9"/>
  <c r="K55" i="9"/>
  <c r="K647" i="9"/>
  <c r="K132" i="9"/>
  <c r="K937" i="9"/>
  <c r="K296" i="9"/>
  <c r="K445" i="9"/>
  <c r="K30" i="9"/>
  <c r="K438" i="9"/>
  <c r="K708" i="9"/>
  <c r="K560" i="9"/>
  <c r="K175" i="9"/>
  <c r="K732" i="9"/>
  <c r="K532" i="9"/>
  <c r="K256" i="9"/>
  <c r="K3" i="9"/>
  <c r="K582" i="9"/>
  <c r="K422" i="9"/>
  <c r="K390" i="9"/>
  <c r="L390" i="9" s="1"/>
  <c r="K461" i="9"/>
  <c r="L461" i="9" s="1"/>
  <c r="K540" i="9"/>
  <c r="K581" i="9"/>
  <c r="K107" i="9"/>
  <c r="M107" i="9" s="1"/>
  <c r="K50" i="9"/>
  <c r="K871" i="9"/>
  <c r="K924" i="9"/>
  <c r="K984" i="9"/>
  <c r="K825" i="9"/>
  <c r="K883" i="9"/>
  <c r="K142" i="9"/>
  <c r="K444" i="9"/>
  <c r="K891" i="9"/>
  <c r="K173" i="9"/>
  <c r="K218" i="9"/>
  <c r="K785" i="9"/>
  <c r="K993" i="9"/>
  <c r="K641" i="9"/>
  <c r="L641" i="9" s="1"/>
  <c r="K229" i="9"/>
  <c r="M229" i="9" s="1"/>
  <c r="K177" i="9"/>
  <c r="K645" i="9"/>
  <c r="K11" i="9"/>
  <c r="K760" i="9"/>
  <c r="K97" i="9"/>
  <c r="M97" i="9" s="1"/>
  <c r="K428" i="9"/>
  <c r="K272" i="9"/>
  <c r="K365" i="9"/>
  <c r="K723" i="9"/>
  <c r="K312" i="9"/>
  <c r="K443" i="9"/>
  <c r="L443" i="9" s="1"/>
  <c r="K417" i="9"/>
  <c r="K899" i="9"/>
  <c r="K880" i="9"/>
  <c r="K157" i="9"/>
  <c r="K516" i="9"/>
  <c r="K6" i="9"/>
  <c r="K731" i="9"/>
  <c r="L731" i="9" s="1"/>
  <c r="K774" i="9"/>
  <c r="K273" i="9"/>
  <c r="K722" i="9"/>
  <c r="L722" i="9" s="1"/>
  <c r="K89" i="9"/>
  <c r="K906" i="9"/>
  <c r="K249" i="9"/>
  <c r="K215" i="9"/>
  <c r="K486" i="9"/>
  <c r="L486" i="9" s="1"/>
  <c r="K74" i="9"/>
  <c r="K127" i="9"/>
  <c r="K672" i="9"/>
  <c r="L672" i="9" s="1"/>
  <c r="K946" i="9"/>
  <c r="K320" i="9"/>
  <c r="K415" i="9"/>
  <c r="K822" i="9"/>
  <c r="K684" i="9"/>
  <c r="L684" i="9" s="1"/>
  <c r="K387" i="9"/>
  <c r="L387" i="9" s="1"/>
  <c r="K275" i="9"/>
  <c r="K989" i="9"/>
  <c r="K493" i="9"/>
  <c r="K9" i="9"/>
  <c r="K495" i="9"/>
  <c r="M495" i="9" s="1"/>
  <c r="K375" i="9"/>
  <c r="K861" i="9"/>
  <c r="K2" i="9"/>
  <c r="K404" i="9"/>
  <c r="K794" i="9"/>
  <c r="K643" i="9"/>
  <c r="K537" i="9"/>
  <c r="L537" i="9" s="1"/>
  <c r="K783" i="9"/>
  <c r="K525" i="9"/>
  <c r="K779" i="9"/>
  <c r="K10" i="9"/>
  <c r="M10" i="9" s="1"/>
  <c r="K714" i="9"/>
  <c r="L714" i="9" s="1"/>
  <c r="K956" i="9"/>
  <c r="K44" i="9"/>
  <c r="K759" i="9"/>
  <c r="M759" i="9" s="1"/>
  <c r="K156" i="9"/>
  <c r="K832" i="9"/>
  <c r="K104" i="9"/>
  <c r="K225" i="9"/>
  <c r="K126" i="9"/>
  <c r="M126" i="9" s="1"/>
  <c r="K265" i="9"/>
  <c r="K166" i="9"/>
  <c r="K160" i="9"/>
  <c r="K912" i="9"/>
  <c r="K329" i="9"/>
  <c r="K843" i="9"/>
  <c r="K688" i="9"/>
  <c r="L688" i="9" s="1"/>
  <c r="K521" i="9"/>
  <c r="K566" i="9"/>
  <c r="K605" i="9"/>
  <c r="L605" i="9" s="1"/>
  <c r="K130" i="9"/>
  <c r="K725" i="9"/>
  <c r="L725" i="9" s="1"/>
  <c r="K593" i="9"/>
  <c r="L593" i="9" s="1"/>
  <c r="K262" i="9"/>
  <c r="K141" i="9"/>
  <c r="K381" i="9"/>
  <c r="K653" i="9"/>
  <c r="L653" i="9" s="1"/>
  <c r="K936" i="9"/>
  <c r="K454" i="9"/>
  <c r="K240" i="9"/>
  <c r="K895" i="9"/>
  <c r="K651" i="9"/>
  <c r="K706" i="9"/>
  <c r="L706" i="9" s="1"/>
  <c r="K87" i="9"/>
  <c r="K860" i="9"/>
  <c r="K515" i="9"/>
  <c r="K179" i="9"/>
  <c r="A132" i="11" s="1" a="1"/>
  <c r="K182" i="9"/>
  <c r="K151" i="9"/>
  <c r="A110" i="11" s="1" a="1"/>
  <c r="K228" i="9"/>
  <c r="A159" i="11" s="1" a="1"/>
  <c r="K768" i="9"/>
  <c r="K183" i="9"/>
  <c r="K705" i="9"/>
  <c r="K340" i="9"/>
  <c r="L340" i="9" s="1"/>
  <c r="K803" i="9"/>
  <c r="K520" i="9"/>
  <c r="K344" i="9"/>
  <c r="K36" i="9"/>
  <c r="K236" i="9"/>
  <c r="K29" i="9"/>
  <c r="K916" i="9"/>
  <c r="K16" i="9"/>
  <c r="K824" i="9"/>
  <c r="K870" i="9"/>
  <c r="K146" i="9"/>
  <c r="K669" i="9"/>
  <c r="K90" i="9"/>
  <c r="M90" i="9" s="1"/>
  <c r="K298" i="9"/>
  <c r="K109" i="9"/>
  <c r="M109" i="9" s="1"/>
  <c r="K271" i="9"/>
  <c r="K57" i="9"/>
  <c r="K859" i="9"/>
  <c r="K61" i="9"/>
  <c r="M61" i="9" s="1"/>
  <c r="K139" i="9"/>
  <c r="K54" i="9"/>
  <c r="K92" i="9"/>
  <c r="K909" i="9"/>
  <c r="K232" i="9"/>
  <c r="K965" i="9"/>
  <c r="K889" i="9"/>
  <c r="K203" i="9"/>
  <c r="K758" i="9"/>
  <c r="K687" i="9"/>
  <c r="K551" i="9"/>
  <c r="K25" i="9"/>
  <c r="K792" i="9"/>
  <c r="M792" i="9" s="1"/>
  <c r="K952" i="9"/>
  <c r="K612" i="9"/>
  <c r="K580" i="9"/>
  <c r="B188" i="11" s="1" a="1"/>
  <c r="K680" i="9"/>
  <c r="K945" i="9"/>
  <c r="L945" i="9" s="1"/>
  <c r="K622" i="9"/>
  <c r="K802" i="9"/>
  <c r="K356" i="9"/>
  <c r="B113" i="11" s="1" a="1"/>
  <c r="K257" i="9"/>
  <c r="K389" i="9"/>
  <c r="K713" i="9"/>
  <c r="L713" i="9" s="1"/>
  <c r="K473" i="9"/>
  <c r="K894" i="9"/>
  <c r="M894" i="9" s="1"/>
  <c r="K125" i="9"/>
  <c r="K77" i="9"/>
  <c r="K64" i="9"/>
  <c r="K364" i="9"/>
  <c r="B115" i="11" s="1" a="1"/>
  <c r="K735" i="9"/>
  <c r="L735" i="9" s="1"/>
  <c r="K442" i="9"/>
  <c r="M442" i="9" s="1"/>
  <c r="K388" i="9"/>
  <c r="K831" i="9"/>
  <c r="K598" i="9"/>
  <c r="L598" i="9" s="1"/>
  <c r="K715" i="9"/>
  <c r="L715" i="9" s="1"/>
  <c r="K830" i="9"/>
  <c r="K961" i="9"/>
  <c r="K334" i="9"/>
  <c r="L334" i="9" s="1"/>
  <c r="K470" i="9"/>
  <c r="L470" i="9" s="1"/>
  <c r="K267" i="9"/>
  <c r="K913" i="9"/>
  <c r="K559" i="9"/>
  <c r="K53" i="9"/>
  <c r="K942" i="9"/>
  <c r="K62" i="9"/>
  <c r="K955" i="9"/>
  <c r="K492" i="9"/>
  <c r="L492" i="9" s="1"/>
  <c r="K787" i="9"/>
  <c r="K926" i="9"/>
  <c r="K513" i="9"/>
  <c r="L513" i="9" s="1"/>
  <c r="K252" i="9"/>
  <c r="A174" i="11" s="1" a="1"/>
  <c r="K987" i="9"/>
  <c r="K801" i="9"/>
  <c r="B267" i="11" s="1" a="1"/>
  <c r="K575" i="9"/>
  <c r="B187" i="11" s="1" a="1"/>
  <c r="K611" i="9"/>
  <c r="L611" i="9" s="1"/>
  <c r="K114" i="9"/>
  <c r="K574" i="9"/>
  <c r="L574" i="9" s="1"/>
  <c r="K292" i="9"/>
  <c r="K460" i="9"/>
  <c r="K944" i="9"/>
  <c r="K408" i="9"/>
  <c r="L408" i="9" s="1"/>
  <c r="K185" i="9"/>
  <c r="M185" i="9" s="1"/>
  <c r="K17" i="9"/>
  <c r="K48" i="9"/>
  <c r="K78" i="9"/>
  <c r="K778" i="9"/>
  <c r="K640" i="9"/>
  <c r="K970" i="9"/>
  <c r="K128" i="9"/>
  <c r="A90" i="11" s="1" a="1"/>
  <c r="K534" i="9"/>
  <c r="K704" i="9"/>
  <c r="L704" i="9" s="1"/>
  <c r="K360" i="9"/>
  <c r="K246" i="9"/>
  <c r="K452" i="9"/>
  <c r="L452" i="9" s="1"/>
  <c r="K49" i="9"/>
  <c r="M49" i="9" s="1"/>
  <c r="K337" i="9"/>
  <c r="M337" i="9" s="1"/>
  <c r="K459" i="9"/>
  <c r="K5" i="9"/>
  <c r="M5" i="9" s="1"/>
  <c r="K819" i="9"/>
  <c r="K371" i="9"/>
  <c r="K80" i="9"/>
  <c r="K15" i="9"/>
  <c r="M15" i="9" s="1"/>
  <c r="K198" i="9"/>
  <c r="K977" i="9"/>
  <c r="K721" i="9"/>
  <c r="L721" i="9" s="1"/>
  <c r="K514" i="9"/>
  <c r="K172" i="9"/>
  <c r="K618" i="9"/>
  <c r="L618" i="9" s="1"/>
  <c r="K648" i="9"/>
  <c r="K847" i="9"/>
  <c r="K504" i="9"/>
  <c r="K399" i="9"/>
  <c r="K322" i="9"/>
  <c r="L322" i="9" s="1"/>
  <c r="K835" i="9"/>
  <c r="K69" i="9"/>
  <c r="K159" i="9"/>
  <c r="K216" i="9"/>
  <c r="M216" i="9" s="1"/>
  <c r="K903" i="9"/>
  <c r="K738" i="9"/>
  <c r="L738" i="9" s="1"/>
  <c r="K28" i="9"/>
  <c r="K113" i="9"/>
  <c r="K421" i="9"/>
  <c r="K992" i="9"/>
  <c r="K888" i="9"/>
  <c r="K681" i="9"/>
  <c r="K776" i="9"/>
  <c r="K480" i="9"/>
  <c r="M480" i="9" s="1"/>
  <c r="K295" i="9"/>
  <c r="K951" i="9"/>
  <c r="K433" i="9"/>
  <c r="M433" i="9" s="1"/>
  <c r="K718" i="9"/>
  <c r="K547" i="9"/>
  <c r="K362" i="9"/>
  <c r="M362" i="9" s="1"/>
  <c r="K463" i="9"/>
  <c r="L463" i="9" s="1"/>
  <c r="K879" i="9"/>
  <c r="K519" i="9"/>
  <c r="K316" i="9"/>
  <c r="L316" i="9" s="1"/>
  <c r="K767" i="9"/>
  <c r="K506" i="9"/>
  <c r="K804" i="9"/>
  <c r="K138" i="9"/>
  <c r="K943" i="9"/>
  <c r="K258" i="9"/>
  <c r="A179" i="11" s="1" a="1"/>
  <c r="K597" i="9"/>
  <c r="K288" i="9"/>
  <c r="K82" i="9"/>
  <c r="K800" i="9"/>
  <c r="K351" i="9"/>
  <c r="L351" i="9" s="1"/>
  <c r="K20" i="9"/>
  <c r="K674" i="9"/>
  <c r="K585" i="9"/>
  <c r="L585" i="9" s="1"/>
  <c r="K887" i="9"/>
  <c r="K964" i="9"/>
  <c r="K124" i="9"/>
  <c r="K660" i="9"/>
  <c r="K368" i="9"/>
  <c r="K294" i="9"/>
  <c r="L294" i="9" s="1"/>
  <c r="K223" i="9"/>
  <c r="K935" i="9"/>
  <c r="M935" i="9" s="1"/>
  <c r="K297" i="9"/>
  <c r="K239" i="9"/>
  <c r="K147" i="9"/>
  <c r="K488" i="9"/>
  <c r="L488" i="9" s="1"/>
  <c r="K600" i="9"/>
  <c r="K278" i="9"/>
  <c r="K650" i="9"/>
  <c r="K556" i="9"/>
  <c r="K747" i="9"/>
  <c r="L747" i="9" s="1"/>
  <c r="K869" i="9"/>
  <c r="K642" i="9"/>
  <c r="L642" i="9" s="1"/>
  <c r="K636" i="9"/>
  <c r="K237" i="9"/>
  <c r="A162" i="11" s="1" a="1"/>
  <c r="K402" i="9"/>
  <c r="K349" i="9"/>
  <c r="K45" i="9"/>
  <c r="M45" i="9" s="1"/>
  <c r="K930" i="9"/>
  <c r="K968" i="9"/>
  <c r="L968" i="9" s="1"/>
  <c r="K200" i="9"/>
  <c r="M200" i="9" s="1"/>
  <c r="K234" i="9"/>
  <c r="K394" i="9"/>
  <c r="K314" i="9"/>
  <c r="K227" i="9"/>
  <c r="K39" i="9"/>
  <c r="K1000" i="9"/>
  <c r="K933" i="9"/>
  <c r="K635" i="9"/>
  <c r="M635" i="9" s="1"/>
  <c r="K213" i="9"/>
  <c r="K634" i="9"/>
  <c r="K425" i="9"/>
  <c r="K100" i="9"/>
  <c r="A588" i="11" s="1" a="1"/>
  <c r="K814" i="9"/>
  <c r="K491" i="9"/>
  <c r="K441" i="9"/>
  <c r="A308" i="11" s="1" a="1"/>
  <c r="K186" i="9"/>
  <c r="M186" i="9" s="1"/>
  <c r="K980" i="9"/>
  <c r="K131" i="9"/>
  <c r="K625" i="9"/>
  <c r="K638" i="9"/>
  <c r="K407" i="9"/>
  <c r="K512" i="9"/>
  <c r="L512" i="9" s="1"/>
  <c r="K35" i="9"/>
  <c r="K307" i="9"/>
  <c r="K377" i="9"/>
  <c r="K8" i="9"/>
  <c r="K327" i="9"/>
  <c r="M327" i="9" s="1"/>
  <c r="K810" i="9"/>
  <c r="M810" i="9" s="1"/>
  <c r="K849" i="9"/>
  <c r="K988" i="9"/>
  <c r="K348" i="9"/>
  <c r="K963" i="9"/>
  <c r="L963" i="9" s="1"/>
  <c r="K201" i="9"/>
  <c r="K858" i="9"/>
  <c r="K435" i="9"/>
  <c r="A303" i="11" s="1" a="1"/>
  <c r="K248" i="9"/>
  <c r="A171" i="11" s="1" a="1"/>
  <c r="K451" i="9"/>
  <c r="M451" i="9" s="1"/>
  <c r="K991" i="9"/>
  <c r="K954" i="9"/>
  <c r="K695" i="9"/>
  <c r="K206" i="9"/>
  <c r="K369" i="9"/>
  <c r="K158" i="9"/>
  <c r="K627" i="9"/>
  <c r="L627" i="9" s="1"/>
  <c r="K306" i="9"/>
  <c r="A211" i="11" s="1" a="1"/>
  <c r="K398" i="9"/>
  <c r="K670" i="9"/>
  <c r="K479" i="9"/>
  <c r="K857" i="9"/>
  <c r="K326" i="9"/>
  <c r="A224" i="11" s="1" a="1"/>
  <c r="K270" i="9"/>
  <c r="K717" i="9"/>
  <c r="L717" i="9" s="1"/>
  <c r="K190" i="9"/>
  <c r="K553" i="9"/>
  <c r="K161" i="9"/>
  <c r="K805" i="9"/>
  <c r="K757" i="9"/>
  <c r="K38" i="9"/>
  <c r="K354" i="9"/>
  <c r="K868" i="9"/>
  <c r="K392" i="9"/>
  <c r="K14" i="9"/>
  <c r="K690" i="9"/>
  <c r="K875" i="9"/>
  <c r="B298" i="11" s="1" a="1"/>
  <c r="K546" i="9"/>
  <c r="K746" i="9"/>
  <c r="L746" i="9" s="1"/>
  <c r="K922" i="9"/>
  <c r="B315" i="11" s="1" a="1"/>
  <c r="K766" i="9"/>
  <c r="K102" i="9"/>
  <c r="K527" i="9"/>
  <c r="K210" i="9"/>
  <c r="M210" i="9" s="1"/>
  <c r="K324" i="9"/>
  <c r="K65" i="9"/>
  <c r="K164" i="9"/>
  <c r="M164" i="9" s="1"/>
  <c r="K558" i="9"/>
  <c r="K170" i="9"/>
  <c r="K112" i="9"/>
  <c r="M112" i="9" s="1"/>
  <c r="K413" i="9"/>
  <c r="K93" i="9"/>
  <c r="K167" i="9"/>
  <c r="K266" i="9"/>
  <c r="A183" i="11" s="1" a="1"/>
  <c r="K196" i="9"/>
  <c r="K293" i="9"/>
  <c r="K677" i="9"/>
  <c r="K856" i="9"/>
  <c r="K526" i="9"/>
  <c r="L526" i="9" s="1"/>
  <c r="K283" i="9"/>
  <c r="A194" i="11" s="1" a="1"/>
  <c r="K530" i="9"/>
  <c r="L530" i="9" s="1"/>
  <c r="K572" i="9"/>
  <c r="L572" i="9" s="1"/>
  <c r="K898" i="9"/>
  <c r="K997" i="9"/>
  <c r="K403" i="9"/>
  <c r="K222" i="9"/>
  <c r="A155" i="11" s="1" a="1"/>
  <c r="K908" i="9"/>
  <c r="K621" i="9"/>
  <c r="L621" i="9" s="1"/>
  <c r="K359" i="9"/>
  <c r="A247" i="11" s="1" a="1"/>
  <c r="K649" i="9"/>
  <c r="L649" i="9" s="1"/>
  <c r="K355" i="9"/>
  <c r="K872" i="9"/>
  <c r="K614" i="9"/>
  <c r="K384" i="9"/>
  <c r="K101" i="9"/>
  <c r="K245" i="9"/>
  <c r="A168" i="11" s="1" a="1"/>
  <c r="K953" i="9"/>
  <c r="K563" i="9"/>
  <c r="K716" i="9"/>
  <c r="A172" i="11" s="1" a="1"/>
  <c r="K376" i="9"/>
  <c r="A259" i="11" s="1" a="1"/>
  <c r="K419" i="9"/>
  <c r="K395" i="9"/>
  <c r="K796" i="9"/>
  <c r="K466" i="9"/>
  <c r="K985" i="9"/>
  <c r="K373" i="9"/>
  <c r="K841" i="9"/>
  <c r="K244" i="9"/>
  <c r="K115" i="9"/>
  <c r="K855" i="9"/>
  <c r="B286" i="11" s="1" a="1"/>
  <c r="K462" i="9"/>
  <c r="A337" i="11" s="1" a="1"/>
  <c r="K765" i="9"/>
  <c r="K789" i="9"/>
  <c r="K478" i="9"/>
  <c r="K458" i="9"/>
  <c r="A339" i="11" s="1" a="1"/>
  <c r="K287" i="9"/>
  <c r="A196" i="11" s="1" a="1"/>
  <c r="K176" i="9"/>
  <c r="A129" i="11" s="1" a="1"/>
  <c r="K339" i="9"/>
  <c r="A231" i="11" s="1" a="1"/>
  <c r="K664" i="9"/>
  <c r="K335" i="9"/>
  <c r="A229" i="11" s="1" a="1"/>
  <c r="K67" i="9"/>
  <c r="K626" i="9"/>
  <c r="K46" i="9"/>
  <c r="K41" i="9"/>
  <c r="K867" i="9"/>
  <c r="B293" i="11" s="1" a="1"/>
  <c r="K323" i="9"/>
  <c r="K886" i="9"/>
  <c r="K846" i="9"/>
  <c r="A564" i="11" s="1" a="1"/>
  <c r="K728" i="9"/>
  <c r="K291" i="9"/>
  <c r="K379" i="9"/>
  <c r="A262" i="11" s="1" a="1"/>
  <c r="K914" i="9"/>
  <c r="K73" i="9"/>
  <c r="K150" i="9"/>
  <c r="K809" i="9"/>
  <c r="K754" i="9"/>
  <c r="A151" i="11" s="1" a="1"/>
  <c r="K878" i="9"/>
  <c r="K511" i="9"/>
  <c r="L511" i="9" s="1"/>
  <c r="K378" i="9"/>
  <c r="K784" i="9"/>
  <c r="A521" i="11" s="1" a="1"/>
  <c r="K255" i="9"/>
  <c r="K813" i="9"/>
  <c r="K737" i="9"/>
  <c r="K143" i="9"/>
  <c r="K282" i="9"/>
  <c r="K406" i="9"/>
  <c r="K242" i="9"/>
  <c r="K22" i="9"/>
  <c r="M22" i="9" s="1"/>
  <c r="K490" i="9"/>
  <c r="K336" i="9"/>
  <c r="K180" i="9"/>
  <c r="M180" i="9" s="1"/>
  <c r="K727" i="9"/>
  <c r="K134" i="9"/>
  <c r="K136" i="9"/>
  <c r="K588" i="9"/>
  <c r="L588" i="9" s="1"/>
  <c r="K918" i="9"/>
  <c r="K707" i="9"/>
  <c r="K703" i="9"/>
  <c r="K171" i="9"/>
  <c r="K60" i="9"/>
  <c r="K483" i="9"/>
  <c r="B150" i="11" s="1" a="1"/>
  <c r="K816" i="9"/>
  <c r="K799" i="9"/>
  <c r="K99" i="9"/>
  <c r="K829" i="9"/>
  <c r="K539" i="9"/>
  <c r="L539" i="9" s="1"/>
  <c r="K95" i="9"/>
  <c r="K189" i="9"/>
  <c r="K693" i="9"/>
  <c r="K264" i="9"/>
  <c r="K310" i="9"/>
  <c r="K750" i="9"/>
  <c r="M750" i="9" s="1"/>
  <c r="K938" i="9"/>
  <c r="L938" i="9" s="1"/>
  <c r="K702" i="9"/>
  <c r="M702" i="9" s="1"/>
  <c r="K845" i="9"/>
  <c r="K753" i="9"/>
  <c r="K531" i="9"/>
  <c r="L531" i="9" s="1"/>
  <c r="K290" i="9"/>
  <c r="K154" i="9"/>
  <c r="K123" i="9"/>
  <c r="K791" i="9"/>
  <c r="K749" i="9"/>
  <c r="K840" i="9"/>
  <c r="B281" i="11" s="1" a="1"/>
  <c r="K274" i="9"/>
  <c r="K678" i="9"/>
  <c r="L678" i="9" s="1"/>
  <c r="K363" i="9"/>
  <c r="K86" i="9"/>
  <c r="K866" i="9"/>
  <c r="K199" i="9"/>
  <c r="M199" i="9" s="1"/>
  <c r="K586" i="9"/>
  <c r="K569" i="9"/>
  <c r="M569" i="9" s="1"/>
  <c r="K191" i="9"/>
  <c r="K333" i="9"/>
  <c r="A227" i="11" s="1" a="1"/>
  <c r="K613" i="9"/>
  <c r="K848" i="9"/>
  <c r="K110" i="9"/>
  <c r="K174" i="9"/>
  <c r="M174" i="9" s="1"/>
  <c r="K501" i="9"/>
  <c r="K529" i="9"/>
  <c r="K948" i="9"/>
  <c r="K319" i="9"/>
  <c r="A220" i="11" s="1" a="1"/>
  <c r="K414" i="9"/>
  <c r="K865" i="9"/>
  <c r="K698" i="9"/>
  <c r="K496" i="9"/>
  <c r="B153" i="11" s="1" a="1"/>
  <c r="K950" i="9"/>
  <c r="K874" i="9"/>
  <c r="B297" i="11" s="1" a="1"/>
  <c r="K743" i="9"/>
  <c r="K152" i="9"/>
  <c r="K380" i="9"/>
  <c r="K342" i="9"/>
  <c r="A234" i="11" s="1" a="1"/>
  <c r="K366" i="9"/>
  <c r="K24" i="9"/>
  <c r="M24" i="9" s="1"/>
  <c r="K51" i="9"/>
  <c r="K420" i="9"/>
  <c r="K518" i="9"/>
  <c r="K661" i="9"/>
  <c r="K675" i="9"/>
  <c r="K620" i="9"/>
  <c r="K550" i="9"/>
  <c r="K971" i="9"/>
  <c r="L971" i="9" s="1"/>
  <c r="K300" i="9"/>
  <c r="A207" i="11" s="1" a="1"/>
  <c r="K808" i="9"/>
  <c r="K610" i="9"/>
  <c r="L610" i="9" s="1"/>
  <c r="K386" i="9"/>
  <c r="K538" i="9"/>
  <c r="L538" i="9" s="1"/>
  <c r="K105" i="9"/>
  <c r="K374" i="9"/>
  <c r="A257" i="11" s="1" a="1"/>
  <c r="K32" i="9"/>
  <c r="K485" i="9"/>
  <c r="K602" i="9"/>
  <c r="K111" i="9"/>
  <c r="K209" i="9"/>
  <c r="M209" i="9" s="1"/>
  <c r="K655" i="9"/>
  <c r="K482" i="9"/>
  <c r="K617" i="9"/>
  <c r="L617" i="9" s="1"/>
  <c r="K465" i="9"/>
  <c r="K594" i="9"/>
  <c r="L594" i="9" s="1"/>
  <c r="K383" i="9"/>
  <c r="K63" i="9"/>
  <c r="K19" i="9"/>
  <c r="K448" i="9"/>
  <c r="K752" i="9"/>
  <c r="K43" i="9"/>
  <c r="K562" i="9"/>
  <c r="L562" i="9" s="1"/>
  <c r="K350" i="9"/>
  <c r="M350" i="9" s="1"/>
  <c r="K604" i="9"/>
  <c r="K798" i="9"/>
  <c r="M798" i="9" s="1"/>
  <c r="K986" i="9"/>
  <c r="K842" i="9"/>
  <c r="K795" i="9"/>
  <c r="K730" i="9"/>
  <c r="K321" i="9"/>
  <c r="A222" i="11" s="1" a="1"/>
  <c r="K424" i="9"/>
  <c r="K302" i="9"/>
  <c r="B95" i="11" s="1" a="1"/>
  <c r="K564" i="9"/>
  <c r="L564" i="9" s="1"/>
  <c r="K929" i="9"/>
  <c r="B317" i="11" s="1" a="1"/>
  <c r="K184" i="9"/>
  <c r="K837" i="9"/>
  <c r="K628" i="9"/>
  <c r="K254" i="9"/>
  <c r="K692" i="9"/>
  <c r="L692" i="9" s="1"/>
  <c r="K487" i="9"/>
  <c r="A320" i="11" s="1" a="1"/>
  <c r="K88" i="9"/>
  <c r="K897" i="9"/>
  <c r="K208" i="9"/>
  <c r="M208" i="9" s="1"/>
  <c r="K498" i="9"/>
  <c r="K318" i="9"/>
  <c r="K52" i="9"/>
  <c r="K583" i="9"/>
  <c r="L583" i="9" s="1"/>
  <c r="K587" i="9"/>
  <c r="K503" i="9"/>
  <c r="K7" i="9"/>
  <c r="K122" i="9"/>
  <c r="K911" i="9"/>
  <c r="K197" i="9"/>
  <c r="A143" i="11" s="1" a="1"/>
  <c r="K603" i="9"/>
  <c r="K305" i="9"/>
  <c r="M305" i="9" s="1"/>
  <c r="K734" i="9"/>
  <c r="K902" i="9"/>
  <c r="K83" i="9"/>
  <c r="K286" i="9"/>
  <c r="K434" i="9"/>
  <c r="A302" i="11" s="1" a="1"/>
  <c r="K238" i="9"/>
  <c r="A163" i="11" s="1" a="1"/>
  <c r="K712" i="9"/>
  <c r="K592" i="9"/>
  <c r="K576" i="9"/>
  <c r="K116" i="9"/>
  <c r="K346" i="9"/>
  <c r="K815" i="9"/>
  <c r="A545" i="11" s="1" a="1"/>
  <c r="K241" i="9"/>
  <c r="A165" i="11" s="1" a="1"/>
  <c r="K397" i="9"/>
  <c r="A273" i="11" s="1" a="1"/>
  <c r="K854" i="9"/>
  <c r="K224" i="9"/>
  <c r="K555" i="9"/>
  <c r="K202" i="9"/>
  <c r="M202" i="9" s="1"/>
  <c r="K561" i="9"/>
  <c r="K194" i="9"/>
  <c r="K91" i="9"/>
  <c r="K361" i="9"/>
  <c r="A249" i="11" s="1" a="1"/>
  <c r="K729" i="9"/>
  <c r="A164" i="11" s="1" a="1"/>
  <c r="K864" i="9"/>
  <c r="B291" i="11" s="1" a="1"/>
  <c r="K584" i="9"/>
  <c r="K76" i="9"/>
  <c r="K412" i="9"/>
  <c r="K193" i="9"/>
  <c r="K411" i="9"/>
  <c r="A286" i="11" s="1" a="1"/>
  <c r="K528" i="9"/>
  <c r="K370" i="9"/>
  <c r="A254" i="11" s="1" a="1"/>
  <c r="K469" i="9"/>
  <c r="K472" i="9"/>
  <c r="K188" i="9"/>
  <c r="A138" i="11" s="1" a="1"/>
  <c r="K711" i="9"/>
  <c r="K773" i="9"/>
  <c r="K533" i="9"/>
  <c r="L533" i="9" s="1"/>
  <c r="K595" i="9"/>
  <c r="K947" i="9"/>
  <c r="B327" i="11" s="1" a="1"/>
  <c r="K573" i="9"/>
  <c r="K657" i="9"/>
  <c r="L657" i="9" s="1"/>
  <c r="K975" i="9"/>
  <c r="K418" i="9"/>
  <c r="A290" i="11" s="1" a="1"/>
  <c r="K235" i="9"/>
  <c r="M235" i="9" s="1"/>
  <c r="K565" i="9"/>
  <c r="K685" i="9"/>
  <c r="L685" i="9" s="1"/>
  <c r="K828" i="9"/>
  <c r="K619" i="9"/>
  <c r="K932" i="9"/>
  <c r="B319" i="11" s="1" a="1"/>
  <c r="K666" i="9"/>
  <c r="K570" i="9"/>
  <c r="M570" i="9" s="1"/>
  <c r="K821" i="9"/>
  <c r="K934" i="9"/>
  <c r="K694" i="9"/>
  <c r="L694" i="9" s="1"/>
  <c r="K827" i="9"/>
  <c r="K756" i="9"/>
  <c r="B249" i="11" s="1" a="1"/>
  <c r="K544" i="9"/>
  <c r="M544" i="9" s="1"/>
  <c r="K453" i="9"/>
  <c r="A343" i="11" s="1" a="1"/>
  <c r="K639" i="9"/>
  <c r="K631" i="9"/>
  <c r="K780" i="9"/>
  <c r="K477" i="9"/>
  <c r="K475" i="9"/>
  <c r="K616" i="9"/>
  <c r="K510" i="9"/>
  <c r="K839" i="9"/>
  <c r="K507" i="9"/>
  <c r="K701" i="9"/>
  <c r="K121" i="9"/>
  <c r="M121" i="9" s="1"/>
  <c r="K863" i="9"/>
  <c r="B290" i="11" s="1" a="1"/>
  <c r="K696" i="9"/>
  <c r="K742" i="9"/>
  <c r="K974" i="9"/>
  <c r="K259" i="9"/>
  <c r="A180" i="11" s="1" a="1"/>
  <c r="K204" i="9"/>
  <c r="K962" i="9"/>
  <c r="K181" i="9"/>
  <c r="K211" i="9"/>
  <c r="M211" i="9" s="1"/>
  <c r="K797" i="9"/>
  <c r="K396" i="9"/>
  <c r="A272" i="11" s="1" a="1"/>
  <c r="K120" i="9"/>
  <c r="K658" i="9"/>
  <c r="K410" i="9"/>
  <c r="A285" i="11" s="1" a="1"/>
  <c r="K646" i="9"/>
  <c r="L646" i="9" s="1"/>
  <c r="K838" i="9"/>
  <c r="K447" i="9"/>
  <c r="K192" i="9"/>
  <c r="K697" i="9"/>
  <c r="K599" i="9"/>
  <c r="K439" i="9"/>
  <c r="K764" i="9"/>
  <c r="M764" i="9" s="1"/>
  <c r="K960" i="9"/>
  <c r="M960" i="9" s="1"/>
  <c r="K905" i="9"/>
  <c r="M905" i="9" s="1"/>
  <c r="K509" i="9"/>
  <c r="K609" i="9"/>
  <c r="L609" i="9" s="1"/>
  <c r="K982" i="9"/>
  <c r="K812" i="9"/>
  <c r="K13" i="9"/>
  <c r="K497" i="9"/>
  <c r="L497" i="9" s="1"/>
  <c r="K844" i="9"/>
  <c r="B283" i="11" s="1" a="1"/>
  <c r="K119" i="9"/>
  <c r="K207" i="9"/>
  <c r="K484" i="9"/>
  <c r="K432" i="9"/>
  <c r="K153" i="9"/>
  <c r="K741" i="9"/>
  <c r="K481" i="9"/>
  <c r="K165" i="9"/>
  <c r="K118" i="9"/>
  <c r="K885" i="9"/>
  <c r="K40" i="9"/>
  <c r="K772" i="9"/>
  <c r="K23" i="9"/>
  <c r="K332" i="9"/>
  <c r="A226" i="11" s="1" a="1"/>
  <c r="K281" i="9"/>
  <c r="K720" i="9"/>
  <c r="K928" i="9"/>
  <c r="K853" i="9"/>
  <c r="K673" i="9"/>
  <c r="K317" i="9"/>
  <c r="A218" i="11" s="1" a="1"/>
  <c r="K995" i="9"/>
  <c r="K710" i="9"/>
  <c r="L710" i="9" s="1"/>
  <c r="K352" i="9"/>
  <c r="A241" i="11" s="1" a="1"/>
  <c r="K850" i="9"/>
  <c r="K549" i="9"/>
  <c r="K739" i="9"/>
  <c r="L739" i="9" s="1"/>
  <c r="K807" i="9"/>
  <c r="K979" i="9"/>
  <c r="K437" i="9"/>
  <c r="B214" i="11" s="1" a="1"/>
  <c r="K367" i="9"/>
  <c r="K220" i="9"/>
  <c r="K56" i="9"/>
  <c r="K423" i="9"/>
  <c r="A295" i="11" s="1" a="1"/>
  <c r="K178" i="9"/>
  <c r="K552" i="9"/>
  <c r="A278" i="11" s="1" a="1"/>
  <c r="K149" i="9"/>
  <c r="K967" i="9"/>
  <c r="K994" i="9"/>
  <c r="K70" i="9"/>
  <c r="K921" i="9"/>
  <c r="K21" i="9"/>
  <c r="K135" i="9"/>
  <c r="K959" i="9"/>
  <c r="K331" i="9"/>
  <c r="B241" i="11" s="1" a="1"/>
  <c r="K873" i="9"/>
  <c r="K548" i="9"/>
  <c r="K269" i="9"/>
  <c r="A185" i="11" s="1" a="1"/>
  <c r="K890" i="9"/>
  <c r="K393" i="9"/>
  <c r="A271" i="11" s="1" a="1"/>
  <c r="K910" i="9"/>
  <c r="K788" i="9"/>
  <c r="K280" i="9"/>
  <c r="K571" i="9"/>
  <c r="B162" i="11" s="1" a="1"/>
  <c r="K328" i="9"/>
  <c r="K806" i="9"/>
  <c r="K37" i="9"/>
  <c r="K545" i="9"/>
  <c r="L545" i="9" s="1"/>
  <c r="K31" i="9"/>
  <c r="K665" i="9"/>
  <c r="L665" i="9" s="1"/>
  <c r="K782" i="9"/>
  <c r="B85" i="11" s="1" a="1"/>
  <c r="K904" i="9"/>
  <c r="K823" i="9"/>
  <c r="K686" i="9"/>
  <c r="L686" i="9" s="1"/>
  <c r="K745" i="9"/>
  <c r="L745" i="9" s="1"/>
  <c r="K455" i="9"/>
  <c r="K85" i="9"/>
  <c r="K624" i="9"/>
  <c r="K276" i="9"/>
  <c r="A189" i="11" s="1" a="1"/>
  <c r="K771" i="9"/>
  <c r="B90" i="11" s="1" a="1"/>
  <c r="K230" i="9"/>
  <c r="A160" i="11" s="1" a="1"/>
  <c r="K108" i="9"/>
  <c r="K931" i="9"/>
  <c r="K762" i="9"/>
  <c r="K231" i="9"/>
  <c r="B276" i="11" s="1" a="1"/>
  <c r="K709" i="9"/>
  <c r="L709" i="9" s="1"/>
  <c r="K751" i="9"/>
  <c r="K71" i="9"/>
  <c r="B324" i="11" s="1" a="1"/>
  <c r="K233" i="9"/>
  <c r="K308" i="9"/>
  <c r="K700" i="9"/>
  <c r="B118" i="11" s="1" a="1"/>
  <c r="K221" i="9"/>
  <c r="A154" i="11" s="1" a="1"/>
  <c r="K726" i="9"/>
  <c r="L726" i="9" s="1"/>
  <c r="K901" i="9"/>
  <c r="K740" i="9"/>
  <c r="B105" i="11" s="1" a="1"/>
  <c r="K763" i="9"/>
  <c r="K834" i="9"/>
  <c r="B71" i="11" s="1" a="1"/>
  <c r="K285" i="9"/>
  <c r="K517" i="9"/>
  <c r="B184" i="11" s="1" a="1"/>
  <c r="K568" i="9"/>
  <c r="B165" i="11" s="1" a="1"/>
  <c r="K106" i="9"/>
  <c r="K882" i="9"/>
  <c r="B302" i="11" s="1" a="1"/>
  <c r="K476" i="9"/>
  <c r="A327" i="11" s="1" a="1"/>
  <c r="K579" i="9"/>
  <c r="K372" i="9"/>
  <c r="A256" i="11" s="1" a="1"/>
  <c r="K4" i="9"/>
  <c r="K253" i="9"/>
  <c r="A175" i="11" s="1" a="1"/>
  <c r="K852" i="9"/>
  <c r="B285" i="11" s="1" a="1"/>
  <c r="K315" i="9"/>
  <c r="K755" i="9"/>
  <c r="K656" i="9"/>
  <c r="L656" i="9" s="1"/>
  <c r="K941" i="9"/>
  <c r="K47" i="9"/>
  <c r="K279" i="9"/>
  <c r="A192" i="11" s="1" a="1"/>
  <c r="K145" i="9"/>
  <c r="B306" i="11" s="1" a="1"/>
  <c r="K671" i="9"/>
  <c r="K862" i="9"/>
  <c r="K915" i="9"/>
  <c r="K818" i="9"/>
  <c r="K409" i="9"/>
  <c r="A284" i="11" s="1" a="1"/>
  <c r="K471" i="9"/>
  <c r="K541" i="9"/>
  <c r="K893" i="9"/>
  <c r="B307" i="11" s="1" a="1"/>
  <c r="K450" i="9"/>
  <c r="K474" i="9"/>
  <c r="K391" i="9"/>
  <c r="A270" i="11" s="1" a="1"/>
  <c r="K66" i="9"/>
  <c r="K416" i="9"/>
  <c r="K129" i="9"/>
  <c r="B308" i="11" s="1" a="1"/>
  <c r="K34" i="9"/>
  <c r="K464" i="9"/>
  <c r="K162" i="9"/>
  <c r="K168" i="9"/>
  <c r="K543" i="9"/>
  <c r="L543" i="9" s="1"/>
  <c r="K247" i="9"/>
  <c r="A170" i="11" s="1" a="1"/>
  <c r="K59" i="9"/>
  <c r="K217" i="9"/>
  <c r="K923" i="9"/>
  <c r="K990" i="9"/>
  <c r="K591" i="9"/>
  <c r="K978" i="9"/>
  <c r="K137" i="9"/>
  <c r="K881" i="9"/>
  <c r="K633" i="9"/>
  <c r="K689" i="9"/>
  <c r="K226" i="9"/>
  <c r="K884" i="9"/>
  <c r="K353" i="9"/>
  <c r="A242" i="11" s="1" a="1"/>
  <c r="K72" i="9"/>
  <c r="M72" i="9" s="1"/>
  <c r="C3" i="10"/>
  <c r="C4" i="10"/>
  <c r="C5" i="10"/>
  <c r="C6" i="10"/>
  <c r="C7" i="10"/>
  <c r="C2" i="10"/>
  <c r="B3" i="10"/>
  <c r="B4" i="10"/>
  <c r="B5" i="10"/>
  <c r="B6" i="10"/>
  <c r="B7" i="10"/>
  <c r="B2" i="10"/>
  <c r="C3" i="3"/>
  <c r="C4" i="3"/>
  <c r="C5" i="3"/>
  <c r="C6" i="3"/>
  <c r="C7" i="3"/>
  <c r="C2" i="3"/>
  <c r="B3" i="3"/>
  <c r="B4" i="3"/>
  <c r="B5" i="3"/>
  <c r="B6" i="3"/>
  <c r="B7" i="3"/>
  <c r="B2" i="3"/>
  <c r="E2" i="3" s="1"/>
  <c r="M353" i="9"/>
  <c r="M884" i="9"/>
  <c r="M226" i="9"/>
  <c r="M689" i="9"/>
  <c r="M633" i="9"/>
  <c r="M881" i="9"/>
  <c r="M137" i="9"/>
  <c r="M978" i="9"/>
  <c r="M591" i="9"/>
  <c r="M990" i="9"/>
  <c r="M923" i="9"/>
  <c r="M217" i="9"/>
  <c r="M59" i="9"/>
  <c r="M247" i="9"/>
  <c r="M543" i="9"/>
  <c r="M168" i="9"/>
  <c r="M162" i="9"/>
  <c r="M464" i="9"/>
  <c r="M34" i="9"/>
  <c r="M129" i="9"/>
  <c r="M416" i="9"/>
  <c r="M66" i="9"/>
  <c r="M391" i="9"/>
  <c r="M474" i="9"/>
  <c r="M450" i="9"/>
  <c r="M893" i="9"/>
  <c r="M541" i="9"/>
  <c r="M471" i="9"/>
  <c r="M409" i="9"/>
  <c r="M818" i="9"/>
  <c r="M915" i="9"/>
  <c r="M862" i="9"/>
  <c r="M671" i="9"/>
  <c r="M145" i="9"/>
  <c r="M279" i="9"/>
  <c r="M47" i="9"/>
  <c r="M941" i="9"/>
  <c r="M656" i="9"/>
  <c r="M755" i="9"/>
  <c r="M315" i="9"/>
  <c r="M852" i="9"/>
  <c r="M253" i="9"/>
  <c r="M4" i="9"/>
  <c r="M372" i="9"/>
  <c r="M579" i="9"/>
  <c r="M476" i="9"/>
  <c r="M882" i="9"/>
  <c r="M106" i="9"/>
  <c r="M568" i="9"/>
  <c r="M517" i="9"/>
  <c r="M285" i="9"/>
  <c r="M834" i="9"/>
  <c r="M763" i="9"/>
  <c r="M740" i="9"/>
  <c r="M901" i="9"/>
  <c r="M726" i="9"/>
  <c r="M221" i="9"/>
  <c r="M700" i="9"/>
  <c r="M308" i="9"/>
  <c r="M233" i="9"/>
  <c r="M71" i="9"/>
  <c r="M751" i="9"/>
  <c r="M709" i="9"/>
  <c r="M231" i="9"/>
  <c r="M762" i="9"/>
  <c r="M931" i="9"/>
  <c r="M108" i="9"/>
  <c r="M230" i="9"/>
  <c r="M771" i="9"/>
  <c r="M276" i="9"/>
  <c r="M624" i="9"/>
  <c r="M85" i="9"/>
  <c r="M455" i="9"/>
  <c r="M745" i="9"/>
  <c r="M686" i="9"/>
  <c r="M823" i="9"/>
  <c r="M904" i="9"/>
  <c r="M782" i="9"/>
  <c r="M665" i="9"/>
  <c r="M31" i="9"/>
  <c r="M545" i="9"/>
  <c r="M37" i="9"/>
  <c r="M806" i="9"/>
  <c r="M328" i="9"/>
  <c r="M571" i="9"/>
  <c r="M280" i="9"/>
  <c r="M788" i="9"/>
  <c r="M910" i="9"/>
  <c r="M393" i="9"/>
  <c r="M890" i="9"/>
  <c r="M269" i="9"/>
  <c r="M548" i="9"/>
  <c r="M873" i="9"/>
  <c r="M331" i="9"/>
  <c r="M959" i="9"/>
  <c r="M135" i="9"/>
  <c r="M21" i="9"/>
  <c r="M921" i="9"/>
  <c r="M70" i="9"/>
  <c r="M994" i="9"/>
  <c r="M967" i="9"/>
  <c r="M149" i="9"/>
  <c r="M552" i="9"/>
  <c r="M178" i="9"/>
  <c r="M423" i="9"/>
  <c r="M56" i="9"/>
  <c r="M220" i="9"/>
  <c r="M367" i="9"/>
  <c r="M437" i="9"/>
  <c r="M979" i="9"/>
  <c r="M739" i="9"/>
  <c r="M352" i="9"/>
  <c r="M710" i="9"/>
  <c r="M317" i="9"/>
  <c r="M673" i="9"/>
  <c r="M853" i="9"/>
  <c r="M928" i="9"/>
  <c r="M720" i="9"/>
  <c r="M332" i="9"/>
  <c r="M23" i="9"/>
  <c r="M772" i="9"/>
  <c r="M40" i="9"/>
  <c r="M885" i="9"/>
  <c r="M118" i="9"/>
  <c r="M165" i="9"/>
  <c r="M481" i="9"/>
  <c r="M741" i="9"/>
  <c r="M153" i="9"/>
  <c r="M484" i="9"/>
  <c r="M207" i="9"/>
  <c r="M119" i="9"/>
  <c r="M497" i="9"/>
  <c r="M13" i="9"/>
  <c r="M812" i="9"/>
  <c r="M982" i="9"/>
  <c r="M609" i="9"/>
  <c r="M509" i="9"/>
  <c r="M439" i="9"/>
  <c r="M599" i="9"/>
  <c r="M447" i="9"/>
  <c r="M646" i="9"/>
  <c r="M410" i="9"/>
  <c r="M120" i="9"/>
  <c r="M396" i="9"/>
  <c r="M797" i="9"/>
  <c r="M181" i="9"/>
  <c r="M962" i="9"/>
  <c r="M204" i="9"/>
  <c r="M259" i="9"/>
  <c r="M974" i="9"/>
  <c r="M742" i="9"/>
  <c r="M701" i="9"/>
  <c r="M507" i="9"/>
  <c r="M510" i="9"/>
  <c r="M616" i="9"/>
  <c r="M631" i="9"/>
  <c r="M453" i="9"/>
  <c r="M694" i="9"/>
  <c r="M934" i="9"/>
  <c r="M821" i="9"/>
  <c r="M685" i="9"/>
  <c r="M418" i="9"/>
  <c r="M975" i="9"/>
  <c r="M657" i="9"/>
  <c r="M573" i="9"/>
  <c r="M533" i="9"/>
  <c r="M711" i="9"/>
  <c r="M188" i="9"/>
  <c r="M472" i="9"/>
  <c r="M469" i="9"/>
  <c r="M370" i="9"/>
  <c r="M411" i="9"/>
  <c r="M76" i="9"/>
  <c r="M729" i="9"/>
  <c r="M361" i="9"/>
  <c r="M91" i="9"/>
  <c r="M194" i="9"/>
  <c r="M854" i="9"/>
  <c r="M397" i="9"/>
  <c r="M241" i="9"/>
  <c r="M815" i="9"/>
  <c r="M116" i="9"/>
  <c r="M576" i="9"/>
  <c r="M712" i="9"/>
  <c r="M238" i="9"/>
  <c r="M434" i="9"/>
  <c r="M286" i="9"/>
  <c r="M83" i="9"/>
  <c r="M603" i="9"/>
  <c r="M197" i="9"/>
  <c r="M122" i="9"/>
  <c r="M7" i="9"/>
  <c r="M583" i="9"/>
  <c r="M52" i="9"/>
  <c r="M318" i="9"/>
  <c r="M897" i="9"/>
  <c r="M88" i="9"/>
  <c r="M487" i="9"/>
  <c r="M692" i="9"/>
  <c r="M184" i="9"/>
  <c r="M564" i="9"/>
  <c r="M424" i="9"/>
  <c r="M321" i="9"/>
  <c r="M795" i="9"/>
  <c r="M842" i="9"/>
  <c r="M986" i="9"/>
  <c r="M562" i="9"/>
  <c r="M43" i="9"/>
  <c r="M752" i="9"/>
  <c r="M448" i="9"/>
  <c r="M19" i="9"/>
  <c r="M63" i="9"/>
  <c r="M594" i="9"/>
  <c r="M465" i="9"/>
  <c r="M617" i="9"/>
  <c r="M482" i="9"/>
  <c r="M111" i="9"/>
  <c r="M485" i="9"/>
  <c r="M32" i="9"/>
  <c r="M374" i="9"/>
  <c r="M105" i="9"/>
  <c r="M538" i="9"/>
  <c r="M610" i="9"/>
  <c r="M808" i="9"/>
  <c r="M300" i="9"/>
  <c r="M971" i="9"/>
  <c r="M675" i="9"/>
  <c r="M661" i="9"/>
  <c r="M518" i="9"/>
  <c r="M420" i="9"/>
  <c r="M366" i="9"/>
  <c r="M342" i="9"/>
  <c r="M380" i="9"/>
  <c r="M152" i="9"/>
  <c r="M743" i="9"/>
  <c r="M950" i="9"/>
  <c r="M698" i="9"/>
  <c r="M319" i="9"/>
  <c r="M529" i="9"/>
  <c r="M110" i="9"/>
  <c r="M848" i="9"/>
  <c r="M613" i="9"/>
  <c r="M333" i="9"/>
  <c r="M866" i="9"/>
  <c r="M86" i="9"/>
  <c r="M363" i="9"/>
  <c r="M678" i="9"/>
  <c r="M274" i="9"/>
  <c r="M791" i="9"/>
  <c r="M123" i="9"/>
  <c r="M290" i="9"/>
  <c r="M531" i="9"/>
  <c r="M845" i="9"/>
  <c r="M938" i="9"/>
  <c r="M693" i="9"/>
  <c r="M189" i="9"/>
  <c r="M539" i="9"/>
  <c r="M829" i="9"/>
  <c r="M99" i="9"/>
  <c r="M799" i="9"/>
  <c r="M816" i="9"/>
  <c r="M60" i="9"/>
  <c r="M171" i="9"/>
  <c r="M703" i="9"/>
  <c r="M918" i="9"/>
  <c r="M588" i="9"/>
  <c r="M136" i="9"/>
  <c r="M134" i="9"/>
  <c r="M490" i="9"/>
  <c r="M406" i="9"/>
  <c r="M282" i="9"/>
  <c r="M143" i="9"/>
  <c r="M737" i="9"/>
  <c r="M813" i="9"/>
  <c r="M255" i="9"/>
  <c r="M784" i="9"/>
  <c r="M378" i="9"/>
  <c r="M511" i="9"/>
  <c r="M878" i="9"/>
  <c r="M754" i="9"/>
  <c r="M150" i="9"/>
  <c r="M73" i="9"/>
  <c r="M914" i="9"/>
  <c r="M379" i="9"/>
  <c r="M846" i="9"/>
  <c r="M886" i="9"/>
  <c r="M41" i="9"/>
  <c r="M46" i="9"/>
  <c r="M67" i="9"/>
  <c r="M335" i="9"/>
  <c r="M339" i="9"/>
  <c r="M176" i="9"/>
  <c r="M287" i="9"/>
  <c r="M458" i="9"/>
  <c r="M789" i="9"/>
  <c r="M765" i="9"/>
  <c r="M462" i="9"/>
  <c r="M115" i="9"/>
  <c r="M244" i="9"/>
  <c r="M985" i="9"/>
  <c r="M796" i="9"/>
  <c r="M419" i="9"/>
  <c r="M376" i="9"/>
  <c r="M716" i="9"/>
  <c r="M563" i="9"/>
  <c r="M245" i="9"/>
  <c r="M101" i="9"/>
  <c r="M872" i="9"/>
  <c r="M355" i="9"/>
  <c r="M649" i="9"/>
  <c r="M359" i="9"/>
  <c r="M621" i="9"/>
  <c r="M908" i="9"/>
  <c r="M222" i="9"/>
  <c r="M997" i="9"/>
  <c r="M898" i="9"/>
  <c r="M572" i="9"/>
  <c r="M530" i="9"/>
  <c r="M283" i="9"/>
  <c r="M526" i="9"/>
  <c r="M293" i="9"/>
  <c r="M196" i="9"/>
  <c r="M266" i="9"/>
  <c r="M167" i="9"/>
  <c r="M93" i="9"/>
  <c r="M102" i="9"/>
  <c r="M746" i="9"/>
  <c r="M690" i="9"/>
  <c r="M14" i="9"/>
  <c r="M868" i="9"/>
  <c r="M354" i="9"/>
  <c r="M757" i="9"/>
  <c r="M805" i="9"/>
  <c r="M161" i="9"/>
  <c r="M553" i="9"/>
  <c r="M190" i="9"/>
  <c r="M717" i="9"/>
  <c r="M326" i="9"/>
  <c r="M479" i="9"/>
  <c r="M670" i="9"/>
  <c r="M398" i="9"/>
  <c r="M306" i="9"/>
  <c r="M627" i="9"/>
  <c r="M158" i="9"/>
  <c r="M206" i="9"/>
  <c r="M954" i="9"/>
  <c r="M248" i="9"/>
  <c r="M435" i="9"/>
  <c r="M858" i="9"/>
  <c r="M201" i="9"/>
  <c r="M963" i="9"/>
  <c r="M348" i="9"/>
  <c r="M849" i="9"/>
  <c r="M8" i="9"/>
  <c r="M377" i="9"/>
  <c r="M307" i="9"/>
  <c r="M512" i="9"/>
  <c r="M407" i="9"/>
  <c r="M638" i="9"/>
  <c r="M131" i="9"/>
  <c r="M980" i="9"/>
  <c r="M441" i="9"/>
  <c r="M491" i="9"/>
  <c r="M814" i="9"/>
  <c r="M100" i="9"/>
  <c r="M213" i="9"/>
  <c r="M933" i="9"/>
  <c r="M39" i="9"/>
  <c r="M227" i="9"/>
  <c r="M314" i="9"/>
  <c r="M968" i="9"/>
  <c r="M349" i="9"/>
  <c r="M402" i="9"/>
  <c r="M237" i="9"/>
  <c r="M636" i="9"/>
  <c r="M642" i="9"/>
  <c r="M869" i="9"/>
  <c r="M747" i="9"/>
  <c r="M278" i="9"/>
  <c r="M488" i="9"/>
  <c r="M147" i="9"/>
  <c r="M297" i="9"/>
  <c r="M223" i="9"/>
  <c r="M294" i="9"/>
  <c r="M368" i="9"/>
  <c r="M660" i="9"/>
  <c r="M124" i="9"/>
  <c r="M964" i="9"/>
  <c r="M585" i="9"/>
  <c r="M674" i="9"/>
  <c r="M20" i="9"/>
  <c r="M351" i="9"/>
  <c r="M800" i="9"/>
  <c r="M82" i="9"/>
  <c r="M288" i="9"/>
  <c r="M258" i="9"/>
  <c r="M138" i="9"/>
  <c r="M316" i="9"/>
  <c r="M519" i="9"/>
  <c r="M879" i="9"/>
  <c r="M463" i="9"/>
  <c r="M951" i="9"/>
  <c r="M295" i="9"/>
  <c r="M681" i="9"/>
  <c r="M992" i="9"/>
  <c r="M421" i="9"/>
  <c r="M28" i="9"/>
  <c r="M738" i="9"/>
  <c r="M903" i="9"/>
  <c r="M322" i="9"/>
  <c r="M399" i="9"/>
  <c r="M504" i="9"/>
  <c r="M847" i="9"/>
  <c r="M648" i="9"/>
  <c r="M618" i="9"/>
  <c r="M172" i="9"/>
  <c r="M514" i="9"/>
  <c r="M721" i="9"/>
  <c r="M198" i="9"/>
  <c r="M80" i="9"/>
  <c r="M371" i="9"/>
  <c r="M819" i="9"/>
  <c r="M452" i="9"/>
  <c r="M246" i="9"/>
  <c r="M360" i="9"/>
  <c r="M704" i="9"/>
  <c r="M534" i="9"/>
  <c r="M128" i="9"/>
  <c r="M970" i="9"/>
  <c r="M78" i="9"/>
  <c r="M48" i="9"/>
  <c r="M408" i="9"/>
  <c r="M944" i="9"/>
  <c r="M292" i="9"/>
  <c r="M574" i="9"/>
  <c r="M114" i="9"/>
  <c r="M611" i="9"/>
  <c r="M252" i="9"/>
  <c r="M513" i="9"/>
  <c r="M926" i="9"/>
  <c r="M787" i="9"/>
  <c r="M492" i="9"/>
  <c r="M955" i="9"/>
  <c r="M62" i="9"/>
  <c r="M53" i="9"/>
  <c r="M559" i="9"/>
  <c r="M470" i="9"/>
  <c r="M334" i="9"/>
  <c r="M961" i="9"/>
  <c r="M830" i="9"/>
  <c r="M715" i="9"/>
  <c r="M598" i="9"/>
  <c r="M831" i="9"/>
  <c r="M388" i="9"/>
  <c r="M735" i="9"/>
  <c r="M64" i="9"/>
  <c r="M125" i="9"/>
  <c r="M713" i="9"/>
  <c r="M389" i="9"/>
  <c r="M257" i="9"/>
  <c r="M802" i="9"/>
  <c r="M945" i="9"/>
  <c r="M680" i="9"/>
  <c r="M612" i="9"/>
  <c r="M952" i="9"/>
  <c r="M25" i="9"/>
  <c r="M203" i="9"/>
  <c r="M889" i="9"/>
  <c r="M965" i="9"/>
  <c r="M232" i="9"/>
  <c r="M909" i="9"/>
  <c r="M92" i="9"/>
  <c r="M54" i="9"/>
  <c r="M139" i="9"/>
  <c r="M859" i="9"/>
  <c r="M57" i="9"/>
  <c r="M298" i="9"/>
  <c r="M669" i="9"/>
  <c r="M146" i="9"/>
  <c r="M824" i="9"/>
  <c r="M16" i="9"/>
  <c r="M916" i="9"/>
  <c r="M29" i="9"/>
  <c r="M36" i="9"/>
  <c r="M344" i="9"/>
  <c r="M803" i="9"/>
  <c r="M340" i="9"/>
  <c r="M705" i="9"/>
  <c r="M183" i="9"/>
  <c r="M768" i="9"/>
  <c r="M228" i="9"/>
  <c r="M151" i="9"/>
  <c r="M182" i="9"/>
  <c r="M179" i="9"/>
  <c r="M515" i="9"/>
  <c r="M87" i="9"/>
  <c r="M706" i="9"/>
  <c r="M651" i="9"/>
  <c r="M895" i="9"/>
  <c r="M240" i="9"/>
  <c r="M936" i="9"/>
  <c r="M653" i="9"/>
  <c r="M381" i="9"/>
  <c r="M141" i="9"/>
  <c r="M593" i="9"/>
  <c r="M725" i="9"/>
  <c r="M130" i="9"/>
  <c r="M605" i="9"/>
  <c r="M688" i="9"/>
  <c r="M843" i="9"/>
  <c r="M912" i="9"/>
  <c r="M160" i="9"/>
  <c r="M166" i="9"/>
  <c r="M265" i="9"/>
  <c r="M225" i="9"/>
  <c r="M104" i="9"/>
  <c r="M832" i="9"/>
  <c r="M156" i="9"/>
  <c r="M956" i="9"/>
  <c r="M714" i="9"/>
  <c r="M779" i="9"/>
  <c r="M537" i="9"/>
  <c r="M643" i="9"/>
  <c r="M794" i="9"/>
  <c r="M404" i="9"/>
  <c r="M2" i="9"/>
  <c r="M861" i="9"/>
  <c r="M375" i="9"/>
  <c r="M9" i="9"/>
  <c r="M989" i="9"/>
  <c r="M387" i="9"/>
  <c r="M684" i="9"/>
  <c r="M822" i="9"/>
  <c r="M415" i="9"/>
  <c r="M320" i="9"/>
  <c r="M672" i="9"/>
  <c r="M127" i="9"/>
  <c r="M74" i="9"/>
  <c r="M486" i="9"/>
  <c r="M215" i="9"/>
  <c r="M249" i="9"/>
  <c r="M906" i="9"/>
  <c r="M89" i="9"/>
  <c r="M722" i="9"/>
  <c r="M273" i="9"/>
  <c r="M774" i="9"/>
  <c r="M731" i="9"/>
  <c r="M6" i="9"/>
  <c r="M157" i="9"/>
  <c r="M899" i="9"/>
  <c r="M417" i="9"/>
  <c r="M443" i="9"/>
  <c r="M312" i="9"/>
  <c r="M365" i="9"/>
  <c r="M272" i="9"/>
  <c r="M760" i="9"/>
  <c r="M11" i="9"/>
  <c r="M645" i="9"/>
  <c r="M177" i="9"/>
  <c r="M641" i="9"/>
  <c r="M785" i="9"/>
  <c r="M173" i="9"/>
  <c r="M444" i="9"/>
  <c r="M142" i="9"/>
  <c r="M825" i="9"/>
  <c r="M984" i="9"/>
  <c r="M924" i="9"/>
  <c r="M50" i="9"/>
  <c r="M540" i="9"/>
  <c r="M461" i="9"/>
  <c r="M390" i="9"/>
  <c r="M422" i="9"/>
  <c r="M582" i="9"/>
  <c r="M256" i="9"/>
  <c r="M532" i="9"/>
  <c r="M175" i="9"/>
  <c r="M438" i="9"/>
  <c r="M30" i="9"/>
  <c r="M296" i="9"/>
  <c r="M132" i="9"/>
  <c r="M647" i="9"/>
  <c r="M55" i="9"/>
  <c r="M567" i="9"/>
  <c r="M303" i="9"/>
  <c r="M456" i="9"/>
  <c r="M309" i="9"/>
  <c r="M629" i="9"/>
  <c r="M304" i="9"/>
  <c r="M637" i="9"/>
  <c r="M431" i="9"/>
  <c r="M500" i="9"/>
  <c r="M777" i="9"/>
  <c r="M261" i="9"/>
  <c r="M811" i="9"/>
  <c r="M892" i="9"/>
  <c r="M499" i="9"/>
  <c r="M426" i="9"/>
  <c r="M103" i="9"/>
  <c r="M489" i="9"/>
  <c r="M535" i="9"/>
  <c r="M662" i="9"/>
  <c r="M268" i="9"/>
  <c r="M927" i="9"/>
  <c r="M429" i="9"/>
  <c r="M140" i="9"/>
  <c r="M623" i="9"/>
  <c r="M212" i="9"/>
  <c r="M449" i="9"/>
  <c r="M919" i="9"/>
  <c r="M148" i="9"/>
  <c r="M833" i="9"/>
  <c r="M976" i="9"/>
  <c r="M457" i="9"/>
  <c r="M508" i="9"/>
  <c r="M577" i="9"/>
  <c r="M169" i="9"/>
  <c r="M430" i="9"/>
  <c r="M467" i="9"/>
  <c r="M793" i="9"/>
  <c r="M652" i="9"/>
  <c r="M1001" i="9"/>
  <c r="M405" i="9"/>
  <c r="M357" i="9"/>
  <c r="M27" i="9"/>
  <c r="M94" i="9"/>
  <c r="M907" i="9"/>
  <c r="M243" i="9"/>
  <c r="M781" i="9"/>
  <c r="M96" i="9"/>
  <c r="M68" i="9"/>
  <c r="M790" i="9"/>
  <c r="M957" i="9"/>
  <c r="M277" i="9"/>
  <c r="M401" i="9"/>
  <c r="M343" i="9"/>
  <c r="M925" i="9"/>
  <c r="M983" i="9"/>
  <c r="M663" i="9"/>
  <c r="M820" i="9"/>
  <c r="M699" i="9"/>
  <c r="M58" i="9"/>
  <c r="M659" i="9"/>
  <c r="M98" i="9"/>
  <c r="M155" i="9"/>
  <c r="M973" i="9"/>
  <c r="M981" i="9"/>
  <c r="M494" i="9"/>
  <c r="M900" i="9"/>
  <c r="M744" i="9"/>
  <c r="M578" i="9"/>
  <c r="M949" i="9"/>
  <c r="M358" i="9"/>
  <c r="M440" i="9"/>
  <c r="M667" i="9"/>
  <c r="M341" i="9"/>
  <c r="M251" i="9"/>
  <c r="M26" i="9"/>
  <c r="M733" i="9"/>
  <c r="M608" i="9"/>
  <c r="M542" i="9"/>
  <c r="M590" i="9"/>
  <c r="M676" i="9"/>
  <c r="M896" i="9"/>
  <c r="M187" i="9"/>
  <c r="M400" i="9"/>
  <c r="M385" i="9"/>
  <c r="M133" i="9"/>
  <c r="M999" i="9"/>
  <c r="M557" i="9"/>
  <c r="M436" i="9"/>
  <c r="M851" i="9"/>
  <c r="M682" i="9"/>
  <c r="M917" i="9"/>
  <c r="M683" i="9"/>
  <c r="M289" i="9"/>
  <c r="M691" i="9"/>
  <c r="M775" i="9"/>
  <c r="M615" i="9"/>
  <c r="M79" i="9"/>
  <c r="M524" i="9"/>
  <c r="M345" i="9"/>
  <c r="M338" i="9"/>
  <c r="M607" i="9"/>
  <c r="M330" i="9"/>
  <c r="M786" i="9"/>
  <c r="M75" i="9"/>
  <c r="M654" i="9"/>
  <c r="M817" i="9"/>
  <c r="M668" i="9"/>
  <c r="M505" i="9"/>
  <c r="M966" i="9"/>
  <c r="M301" i="9"/>
  <c r="M18" i="9"/>
  <c r="M427" i="9"/>
  <c r="M33" i="9"/>
  <c r="L226" i="9"/>
  <c r="L689" i="9"/>
  <c r="L978" i="9"/>
  <c r="L990" i="9"/>
  <c r="L923" i="9"/>
  <c r="L217" i="9"/>
  <c r="L59" i="9"/>
  <c r="L34" i="9"/>
  <c r="L129" i="9"/>
  <c r="L450" i="9"/>
  <c r="L893" i="9"/>
  <c r="L145" i="9"/>
  <c r="L755" i="9"/>
  <c r="L315" i="9"/>
  <c r="L852" i="9"/>
  <c r="L882" i="9"/>
  <c r="L106" i="9"/>
  <c r="L568" i="9"/>
  <c r="L517" i="9"/>
  <c r="L285" i="9"/>
  <c r="L834" i="9"/>
  <c r="L740" i="9"/>
  <c r="L700" i="9"/>
  <c r="L233" i="9"/>
  <c r="L71" i="9"/>
  <c r="L231" i="9"/>
  <c r="L771" i="9"/>
  <c r="L782" i="9"/>
  <c r="L31" i="9"/>
  <c r="L328" i="9"/>
  <c r="L571" i="9"/>
  <c r="L280" i="9"/>
  <c r="L873" i="9"/>
  <c r="L331" i="9"/>
  <c r="L959" i="9"/>
  <c r="L921" i="9"/>
  <c r="L994" i="9"/>
  <c r="L56" i="9"/>
  <c r="L367" i="9"/>
  <c r="L437" i="9"/>
  <c r="L807" i="9"/>
  <c r="L549" i="9"/>
  <c r="L850" i="9"/>
  <c r="L995" i="9"/>
  <c r="L281" i="9"/>
  <c r="L432" i="9"/>
  <c r="L844" i="9"/>
  <c r="L905" i="9"/>
  <c r="L960" i="9"/>
  <c r="L764" i="9"/>
  <c r="L697" i="9"/>
  <c r="L192" i="9"/>
  <c r="L838" i="9"/>
  <c r="L658" i="9"/>
  <c r="L211" i="9"/>
  <c r="L696" i="9"/>
  <c r="L863" i="9"/>
  <c r="L121" i="9"/>
  <c r="L839" i="9"/>
  <c r="L475" i="9"/>
  <c r="L477" i="9"/>
  <c r="L780" i="9"/>
  <c r="L639" i="9"/>
  <c r="L544" i="9"/>
  <c r="L756" i="9"/>
  <c r="L827" i="9"/>
  <c r="L570" i="9"/>
  <c r="L666" i="9"/>
  <c r="L932" i="9"/>
  <c r="L619" i="9"/>
  <c r="L828" i="9"/>
  <c r="L565" i="9"/>
  <c r="L235" i="9"/>
  <c r="L947" i="9"/>
  <c r="L595" i="9"/>
  <c r="L773" i="9"/>
  <c r="L528" i="9"/>
  <c r="L193" i="9"/>
  <c r="L412" i="9"/>
  <c r="L584" i="9"/>
  <c r="L864" i="9"/>
  <c r="L561" i="9"/>
  <c r="L202" i="9"/>
  <c r="L555" i="9"/>
  <c r="L224" i="9"/>
  <c r="L346" i="9"/>
  <c r="L592" i="9"/>
  <c r="L902" i="9"/>
  <c r="L734" i="9"/>
  <c r="L305" i="9"/>
  <c r="L911" i="9"/>
  <c r="L503" i="9"/>
  <c r="L587" i="9"/>
  <c r="L498" i="9"/>
  <c r="L208" i="9"/>
  <c r="L254" i="9"/>
  <c r="L628" i="9"/>
  <c r="L837" i="9"/>
  <c r="L929" i="9"/>
  <c r="L302" i="9"/>
  <c r="L730" i="9"/>
  <c r="L798" i="9"/>
  <c r="L604" i="9"/>
  <c r="L350" i="9"/>
  <c r="L383" i="9"/>
  <c r="L655" i="9"/>
  <c r="L209" i="9"/>
  <c r="L602" i="9"/>
  <c r="L386" i="9"/>
  <c r="L550" i="9"/>
  <c r="L620" i="9"/>
  <c r="L51" i="9"/>
  <c r="L24" i="9"/>
  <c r="L874" i="9"/>
  <c r="L496" i="9"/>
  <c r="L865" i="9"/>
  <c r="L414" i="9"/>
  <c r="L948" i="9"/>
  <c r="L501" i="9"/>
  <c r="L174" i="9"/>
  <c r="L191" i="9"/>
  <c r="L569" i="9"/>
  <c r="L586" i="9"/>
  <c r="L199" i="9"/>
  <c r="L840" i="9"/>
  <c r="L749" i="9"/>
  <c r="L154" i="9"/>
  <c r="L753" i="9"/>
  <c r="L702" i="9"/>
  <c r="L750" i="9"/>
  <c r="L310" i="9"/>
  <c r="L264" i="9"/>
  <c r="L95" i="9"/>
  <c r="L483" i="9"/>
  <c r="L707" i="9"/>
  <c r="L727" i="9"/>
  <c r="L180" i="9"/>
  <c r="L336" i="9"/>
  <c r="L22" i="9"/>
  <c r="L242" i="9"/>
  <c r="L809" i="9"/>
  <c r="L291" i="9"/>
  <c r="L728" i="9"/>
  <c r="L323" i="9"/>
  <c r="L867" i="9"/>
  <c r="L626" i="9"/>
  <c r="L664" i="9"/>
  <c r="L478" i="9"/>
  <c r="L855" i="9"/>
  <c r="L841" i="9"/>
  <c r="L373" i="9"/>
  <c r="L466" i="9"/>
  <c r="L395" i="9"/>
  <c r="L953" i="9"/>
  <c r="L384" i="9"/>
  <c r="L614" i="9"/>
  <c r="L403" i="9"/>
  <c r="L856" i="9"/>
  <c r="L677" i="9"/>
  <c r="L413" i="9"/>
  <c r="L112" i="9"/>
  <c r="L170" i="9"/>
  <c r="L558" i="9"/>
  <c r="L164" i="9"/>
  <c r="L65" i="9"/>
  <c r="L324" i="9"/>
  <c r="L210" i="9"/>
  <c r="L527" i="9"/>
  <c r="L766" i="9"/>
  <c r="L922" i="9"/>
  <c r="L546" i="9"/>
  <c r="L875" i="9"/>
  <c r="L392" i="9"/>
  <c r="L38" i="9"/>
  <c r="L270" i="9"/>
  <c r="L857" i="9"/>
  <c r="L369" i="9"/>
  <c r="L695" i="9"/>
  <c r="L991" i="9"/>
  <c r="L451" i="9"/>
  <c r="L988" i="9"/>
  <c r="L810" i="9"/>
  <c r="L327" i="9"/>
  <c r="L35" i="9"/>
  <c r="L625" i="9"/>
  <c r="L186" i="9"/>
  <c r="L425" i="9"/>
  <c r="L634" i="9"/>
  <c r="L635" i="9"/>
  <c r="L1000" i="9"/>
  <c r="L394" i="9"/>
  <c r="L234" i="9"/>
  <c r="L200" i="9"/>
  <c r="L930" i="9"/>
  <c r="L45" i="9"/>
  <c r="L556" i="9"/>
  <c r="L650" i="9"/>
  <c r="L600" i="9"/>
  <c r="L239" i="9"/>
  <c r="L935" i="9"/>
  <c r="L887" i="9"/>
  <c r="L597" i="9"/>
  <c r="L943" i="9"/>
  <c r="L804" i="9"/>
  <c r="L506" i="9"/>
  <c r="L767" i="9"/>
  <c r="L362" i="9"/>
  <c r="L547" i="9"/>
  <c r="L718" i="9"/>
  <c r="L433" i="9"/>
  <c r="L480" i="9"/>
  <c r="L776" i="9"/>
  <c r="L888" i="9"/>
  <c r="L113" i="9"/>
  <c r="L216" i="9"/>
  <c r="L159" i="9"/>
  <c r="L69" i="9"/>
  <c r="L835" i="9"/>
  <c r="L977" i="9"/>
  <c r="L15" i="9"/>
  <c r="L5" i="9"/>
  <c r="L459" i="9"/>
  <c r="L337" i="9"/>
  <c r="L49" i="9"/>
  <c r="L640" i="9"/>
  <c r="L778" i="9"/>
  <c r="L17" i="9"/>
  <c r="L185" i="9"/>
  <c r="L460" i="9"/>
  <c r="L575" i="9"/>
  <c r="L801" i="9"/>
  <c r="L987" i="9"/>
  <c r="L942" i="9"/>
  <c r="L913" i="9"/>
  <c r="L267" i="9"/>
  <c r="L442" i="9"/>
  <c r="L364" i="9"/>
  <c r="L77" i="9"/>
  <c r="L894" i="9"/>
  <c r="L473" i="9"/>
  <c r="L356" i="9"/>
  <c r="L622" i="9"/>
  <c r="L580" i="9"/>
  <c r="L792" i="9"/>
  <c r="L551" i="9"/>
  <c r="L687" i="9"/>
  <c r="L758" i="9"/>
  <c r="L61" i="9"/>
  <c r="L271" i="9"/>
  <c r="L109" i="9"/>
  <c r="L90" i="9"/>
  <c r="L870" i="9"/>
  <c r="L236" i="9"/>
  <c r="L520" i="9"/>
  <c r="L860" i="9"/>
  <c r="L454" i="9"/>
  <c r="L262" i="9"/>
  <c r="L566" i="9"/>
  <c r="L521" i="9"/>
  <c r="L329" i="9"/>
  <c r="L126" i="9"/>
  <c r="L759" i="9"/>
  <c r="L44" i="9"/>
  <c r="L10" i="9"/>
  <c r="L525" i="9"/>
  <c r="L783" i="9"/>
  <c r="L495" i="9"/>
  <c r="L493" i="9"/>
  <c r="L275" i="9"/>
  <c r="L946" i="9"/>
  <c r="L516" i="9"/>
  <c r="L880" i="9"/>
  <c r="L723" i="9"/>
  <c r="L428" i="9"/>
  <c r="L97" i="9"/>
  <c r="L229" i="9"/>
  <c r="L993" i="9"/>
  <c r="L218" i="9"/>
  <c r="L891" i="9"/>
  <c r="L883" i="9"/>
  <c r="L871" i="9"/>
  <c r="L107" i="9"/>
  <c r="L581" i="9"/>
  <c r="L3" i="9"/>
  <c r="L732" i="9"/>
  <c r="L560" i="9"/>
  <c r="L708" i="9"/>
  <c r="L445" i="9"/>
  <c r="L937" i="9"/>
  <c r="L446" i="9"/>
  <c r="L163" i="9"/>
  <c r="L920" i="9"/>
  <c r="L42" i="9"/>
  <c r="L250" i="9"/>
  <c r="L826" i="9"/>
  <c r="L84" i="9"/>
  <c r="L299" i="9"/>
  <c r="L263" i="9"/>
  <c r="L998" i="9"/>
  <c r="L214" i="9"/>
  <c r="L589" i="9"/>
  <c r="L748" i="9"/>
  <c r="L644" i="9"/>
  <c r="L325" i="9"/>
  <c r="L382" i="9"/>
  <c r="L939" i="9"/>
  <c r="L876" i="9"/>
  <c r="L606" i="9"/>
  <c r="L81" i="9"/>
  <c r="L219" i="9"/>
  <c r="L679" i="9"/>
  <c r="L522" i="9"/>
  <c r="L554" i="9"/>
  <c r="L769" i="9"/>
  <c r="L596" i="9"/>
  <c r="L205" i="9"/>
  <c r="L601" i="9"/>
  <c r="L836" i="9"/>
  <c r="L877" i="9"/>
  <c r="L468" i="9"/>
  <c r="L940" i="9"/>
  <c r="L761" i="9"/>
  <c r="L313" i="9"/>
  <c r="L347" i="9"/>
  <c r="L12" i="9"/>
  <c r="L724" i="9"/>
  <c r="L502" i="9"/>
  <c r="L144" i="9"/>
  <c r="L630" i="9"/>
  <c r="L523" i="9"/>
  <c r="L632" i="9"/>
  <c r="L770" i="9"/>
  <c r="L736" i="9"/>
  <c r="L958" i="9"/>
  <c r="L536" i="9"/>
  <c r="L117" i="9"/>
  <c r="L195" i="9"/>
  <c r="L284" i="9"/>
  <c r="L996" i="9"/>
  <c r="L972" i="9"/>
  <c r="L260" i="9"/>
  <c r="L719" i="9"/>
  <c r="L311" i="9"/>
  <c r="L969" i="9"/>
  <c r="L72" i="9"/>
  <c r="A294" i="11" l="1" a="1"/>
  <c r="A265" i="11" a="1"/>
  <c r="A232" i="11" a="1"/>
  <c r="A208" i="11" a="1"/>
  <c r="A608" i="11" a="1"/>
  <c r="A190" i="11" a="1"/>
  <c r="A246" i="11" a="1"/>
  <c r="A304" i="11" a="1"/>
  <c r="A322" i="11" a="1"/>
  <c r="A655" i="11" a="1"/>
  <c r="A235" i="11" a="1"/>
  <c r="L155" i="9"/>
  <c r="A113" i="11" a="1"/>
  <c r="A310" i="11" a="1"/>
  <c r="A221" i="11" a="1"/>
  <c r="A251" i="11" a="1"/>
  <c r="B289" i="11" a="1"/>
  <c r="A215" i="11" a="1"/>
  <c r="A634" i="11" a="1"/>
  <c r="A203" i="11" a="1"/>
  <c r="A210" i="11" a="1"/>
  <c r="A268" i="11" a="1"/>
  <c r="A217" i="11" a="1"/>
  <c r="A240" i="11" a="1"/>
  <c r="A314" i="11" a="1"/>
  <c r="A267" i="11" a="1"/>
  <c r="B96" i="11" a="1"/>
  <c r="A626" i="11" a="1"/>
  <c r="B278" i="11" a="1"/>
  <c r="I6" i="1"/>
  <c r="I8" i="1"/>
  <c r="I3" i="1"/>
  <c r="I9" i="1"/>
  <c r="I2" i="1"/>
  <c r="I7" i="1"/>
  <c r="A646" i="11" a="1"/>
  <c r="A299" i="11" a="1"/>
  <c r="A245" i="11" a="1"/>
  <c r="A277" i="11" a="1"/>
  <c r="A641" i="11" a="1"/>
  <c r="A618" i="11" a="1"/>
  <c r="A639" i="11" a="1"/>
  <c r="E4" i="3"/>
  <c r="E6" i="3"/>
  <c r="B320" i="11" a="1"/>
  <c r="A237" i="11" a="1"/>
  <c r="B303" i="11" a="1"/>
  <c r="A620" i="11" a="1"/>
  <c r="A636" i="11" a="1"/>
  <c r="A293" i="11" a="1"/>
  <c r="A596" i="11" a="1"/>
  <c r="A647" i="11" a="1"/>
  <c r="A622" i="11" a="1"/>
  <c r="A631" i="11" a="1"/>
  <c r="E3" i="3"/>
  <c r="E5" i="3"/>
  <c r="L251" i="9"/>
  <c r="A173" i="11" a="1"/>
  <c r="L243" i="9"/>
  <c r="A166" i="11" a="1"/>
  <c r="A282" i="11" a="1"/>
  <c r="B338" i="11" a="1"/>
  <c r="A238" i="11" a="1"/>
  <c r="B340" i="11" a="1"/>
  <c r="A274" i="11" a="1"/>
  <c r="B288" i="11" a="1"/>
  <c r="A243" i="11" a="1"/>
  <c r="A201" i="11" a="1"/>
  <c r="B287" i="11" a="1"/>
  <c r="A167" i="11" a="1"/>
  <c r="A261" i="11" a="1"/>
  <c r="A281" i="11" a="1"/>
  <c r="A263" i="11" a="1"/>
  <c r="A291" i="11" a="1"/>
  <c r="A193" i="11" a="1"/>
  <c r="A188" i="11" a="1"/>
  <c r="E3" i="10"/>
  <c r="E4" i="10"/>
  <c r="E6" i="10"/>
  <c r="E7" i="10"/>
  <c r="A176" i="11" a="1"/>
  <c r="B328" i="11" a="1"/>
  <c r="B309" i="11" a="1"/>
  <c r="B329" i="11" a="1"/>
  <c r="A195" i="11" a="1"/>
  <c r="A153" i="11" a="1"/>
  <c r="L75" i="9"/>
  <c r="A607" i="11" a="1"/>
  <c r="L330" i="9"/>
  <c r="A433" i="11" a="1"/>
  <c r="L338" i="9"/>
  <c r="A428" i="11" a="1"/>
  <c r="L79" i="9"/>
  <c r="A605" i="11" a="1"/>
  <c r="L289" i="9"/>
  <c r="A460" i="11" a="1"/>
  <c r="L682" i="9"/>
  <c r="A198" i="11" a="1"/>
  <c r="L436" i="9"/>
  <c r="A356" i="11" a="1"/>
  <c r="L98" i="9"/>
  <c r="A590" i="11" a="1"/>
  <c r="L699" i="9"/>
  <c r="A187" i="11" a="1"/>
  <c r="L68" i="9"/>
  <c r="A612" i="11" a="1"/>
  <c r="L96" i="9"/>
  <c r="A591" i="11" a="1"/>
  <c r="L94" i="9"/>
  <c r="A592" i="11" a="1"/>
  <c r="L1001" i="9"/>
  <c r="A2" i="11" a="1"/>
  <c r="L103" i="9"/>
  <c r="A585" i="11" a="1"/>
  <c r="M3" i="9"/>
  <c r="B346" i="11" a="1"/>
  <c r="L582" i="9"/>
  <c r="A264" i="11" a="1"/>
  <c r="L540" i="9"/>
  <c r="A287" i="11" a="1"/>
  <c r="L50" i="9"/>
  <c r="A624" i="11" a="1"/>
  <c r="L645" i="9"/>
  <c r="A228" i="11" a="1"/>
  <c r="L11" i="9"/>
  <c r="A650" i="11" a="1"/>
  <c r="L6" i="9"/>
  <c r="A654" i="11" a="1"/>
  <c r="L74" i="9"/>
  <c r="A609" i="11" a="1"/>
  <c r="L127" i="9"/>
  <c r="A576" i="11" a="1"/>
  <c r="L9" i="9"/>
  <c r="A652" i="11" a="1"/>
  <c r="L2" i="9"/>
  <c r="A656" i="11" a="1"/>
  <c r="L643" i="9"/>
  <c r="A230" i="11" a="1"/>
  <c r="L104" i="9"/>
  <c r="A584" i="11" a="1"/>
  <c r="L651" i="9"/>
  <c r="A223" i="11" a="1"/>
  <c r="L87" i="9"/>
  <c r="A598" i="11" a="1"/>
  <c r="L515" i="9"/>
  <c r="A301" i="11" a="1"/>
  <c r="L705" i="9"/>
  <c r="A184" i="11" a="1"/>
  <c r="L36" i="9"/>
  <c r="A633" i="11" a="1"/>
  <c r="L29" i="9"/>
  <c r="A637" i="11" a="1"/>
  <c r="L669" i="9"/>
  <c r="A209" i="11" a="1"/>
  <c r="L57" i="9"/>
  <c r="A619" i="11" a="1"/>
  <c r="L54" i="9"/>
  <c r="A621" i="11" a="1"/>
  <c r="L92" i="9"/>
  <c r="A594" i="11" a="1"/>
  <c r="L25" i="9"/>
  <c r="A640" i="11" a="1"/>
  <c r="L612" i="9"/>
  <c r="A248" i="11" a="1"/>
  <c r="L680" i="9"/>
  <c r="A200" i="11" a="1"/>
  <c r="L125" i="9"/>
  <c r="A575" i="11" a="1"/>
  <c r="L64" i="9"/>
  <c r="A614" i="11" a="1"/>
  <c r="L559" i="9"/>
  <c r="A276" i="11" a="1"/>
  <c r="L62" i="9"/>
  <c r="A616" i="11" a="1"/>
  <c r="L114" i="9"/>
  <c r="A579" i="11" a="1"/>
  <c r="M17" i="9"/>
  <c r="B341" i="11" a="1"/>
  <c r="L48" i="9"/>
  <c r="A625" i="11" a="1"/>
  <c r="L78" i="9"/>
  <c r="A604" i="11" a="1"/>
  <c r="L534" i="9"/>
  <c r="A289" i="11" a="1"/>
  <c r="L80" i="9"/>
  <c r="A603" i="11" a="1"/>
  <c r="L514" i="9"/>
  <c r="A300" i="11" a="1"/>
  <c r="L648" i="9"/>
  <c r="A225" i="11" a="1"/>
  <c r="L504" i="9"/>
  <c r="A309" i="11" a="1"/>
  <c r="M69" i="9"/>
  <c r="B325" i="11" a="1"/>
  <c r="M159" i="9"/>
  <c r="B304" i="11" a="1"/>
  <c r="L28" i="9"/>
  <c r="A638" i="11" a="1"/>
  <c r="M113" i="9"/>
  <c r="B312" i="11" a="1"/>
  <c r="L681" i="9"/>
  <c r="A197" i="11" a="1"/>
  <c r="L519" i="9"/>
  <c r="A298" i="11" a="1"/>
  <c r="L82" i="9"/>
  <c r="A602" i="11" a="1"/>
  <c r="L20" i="9"/>
  <c r="A645" i="11" a="1"/>
  <c r="L674" i="9"/>
  <c r="A205" i="11" a="1"/>
  <c r="L124" i="9"/>
  <c r="A574" i="11" a="1"/>
  <c r="L660" i="9"/>
  <c r="A216" i="11" a="1"/>
  <c r="L636" i="9"/>
  <c r="A233" i="11" a="1"/>
  <c r="M35" i="9"/>
  <c r="B337" i="11" a="1"/>
  <c r="L8" i="9"/>
  <c r="A651" i="11" a="1"/>
  <c r="L553" i="9"/>
  <c r="A279" i="11" a="1"/>
  <c r="M38" i="9"/>
  <c r="B335" i="11" a="1"/>
  <c r="L14" i="9"/>
  <c r="A648" i="11" a="1"/>
  <c r="L690" i="9"/>
  <c r="A191" i="11" a="1"/>
  <c r="L102" i="9"/>
  <c r="A586" i="11" a="1"/>
  <c r="M65" i="9"/>
  <c r="B326" i="11" a="1"/>
  <c r="M170" i="9"/>
  <c r="B301" i="11" a="1"/>
  <c r="L93" i="9"/>
  <c r="A593" i="11" a="1"/>
  <c r="L101" i="9"/>
  <c r="A587" i="11" a="1"/>
  <c r="L563" i="9"/>
  <c r="A275" i="11" a="1"/>
  <c r="L115" i="9"/>
  <c r="A578" i="11" a="1"/>
  <c r="L67" i="9"/>
  <c r="A611" i="11" a="1"/>
  <c r="L46" i="9"/>
  <c r="A627" i="11" a="1"/>
  <c r="L41" i="9"/>
  <c r="A629" i="11" a="1"/>
  <c r="L737" i="9"/>
  <c r="A161" i="11" a="1"/>
  <c r="L703" i="9"/>
  <c r="A182" i="11" a="1"/>
  <c r="L60" i="9"/>
  <c r="A617" i="11" a="1"/>
  <c r="L99" i="9"/>
  <c r="A589" i="11" a="1"/>
  <c r="M95" i="9"/>
  <c r="B318" i="11" a="1"/>
  <c r="M154" i="9"/>
  <c r="B305" i="11" a="1"/>
  <c r="L123" i="9"/>
  <c r="A573" i="11" a="1"/>
  <c r="L86" i="9"/>
  <c r="A599" i="11" a="1"/>
  <c r="L110" i="9"/>
  <c r="A581" i="11" a="1"/>
  <c r="L698" i="9"/>
  <c r="A186" i="11" a="1"/>
  <c r="L743" i="9"/>
  <c r="A158" i="11" a="1"/>
  <c r="L518" i="9"/>
  <c r="A297" i="11" a="1"/>
  <c r="L661" i="9"/>
  <c r="A214" i="11" a="1"/>
  <c r="L675" i="9"/>
  <c r="A202" i="11" a="1"/>
  <c r="L105" i="9"/>
  <c r="A583" i="11" a="1"/>
  <c r="L32" i="9"/>
  <c r="A635" i="11" a="1"/>
  <c r="L111" i="9"/>
  <c r="A580" i="11" a="1"/>
  <c r="L63" i="9"/>
  <c r="A615" i="11" a="1"/>
  <c r="L19" i="9"/>
  <c r="A644" i="11" a="1"/>
  <c r="L43" i="9"/>
  <c r="A628" i="11" a="1"/>
  <c r="L88" i="9"/>
  <c r="A597" i="11" a="1"/>
  <c r="L52" i="9"/>
  <c r="A623" i="11" a="1"/>
  <c r="L7" i="9"/>
  <c r="A653" i="11" a="1"/>
  <c r="L603" i="9"/>
  <c r="A253" i="11" a="1"/>
  <c r="L83" i="9"/>
  <c r="A601" i="11" a="1"/>
  <c r="L712" i="9"/>
  <c r="A178" i="11" a="1"/>
  <c r="L576" i="9"/>
  <c r="A266" i="11" a="1"/>
  <c r="L116" i="9"/>
  <c r="A577" i="11" a="1"/>
  <c r="L91" i="9"/>
  <c r="A595" i="11" a="1"/>
  <c r="L76" i="9"/>
  <c r="A606" i="11" a="1"/>
  <c r="M193" i="9"/>
  <c r="B294" i="11" a="1"/>
  <c r="L711" i="9"/>
  <c r="A177" i="11" a="1"/>
  <c r="L573" i="9"/>
  <c r="A269" i="11" a="1"/>
  <c r="L631" i="9"/>
  <c r="A236" i="11" a="1"/>
  <c r="L510" i="9"/>
  <c r="A305" i="11" a="1"/>
  <c r="L507" i="9"/>
  <c r="A307" i="11" a="1"/>
  <c r="L701" i="9"/>
  <c r="A181" i="11" a="1"/>
  <c r="L742" i="9"/>
  <c r="A157" i="11" a="1"/>
  <c r="B69" i="11" a="1"/>
  <c r="M838" i="9"/>
  <c r="M192" i="9"/>
  <c r="B295" i="11" a="1"/>
  <c r="B120" i="11" a="1"/>
  <c r="M697" i="9"/>
  <c r="L599" i="9"/>
  <c r="A255" i="11" a="1"/>
  <c r="L13" i="9"/>
  <c r="A649" i="11" a="1"/>
  <c r="L741" i="9"/>
  <c r="A156" i="11" a="1"/>
  <c r="L40" i="9"/>
  <c r="A630" i="11" a="1"/>
  <c r="L23" i="9"/>
  <c r="A642" i="11" a="1"/>
  <c r="L720" i="9"/>
  <c r="A169" i="11" a="1"/>
  <c r="L673" i="9"/>
  <c r="A204" i="11" a="1"/>
  <c r="L70" i="9"/>
  <c r="A610" i="11" a="1"/>
  <c r="L21" i="9"/>
  <c r="A643" i="11" a="1"/>
  <c r="L548" i="9"/>
  <c r="A280" i="11" a="1"/>
  <c r="L37" i="9"/>
  <c r="A632" i="11" a="1"/>
  <c r="L85" i="9"/>
  <c r="A600" i="11" a="1"/>
  <c r="L624" i="9"/>
  <c r="A239" i="11" a="1"/>
  <c r="L108" i="9"/>
  <c r="A582" i="11" a="1"/>
  <c r="L751" i="9"/>
  <c r="A152" i="11" a="1"/>
  <c r="L671" i="9"/>
  <c r="A206" i="11" a="1"/>
  <c r="L541" i="9"/>
  <c r="A283" i="11" a="1"/>
  <c r="L66" i="9"/>
  <c r="A613" i="11" a="1"/>
  <c r="L591" i="9"/>
  <c r="A258" i="11" a="1"/>
  <c r="B6" i="11" a="1"/>
  <c r="B51" i="11" a="1"/>
  <c r="B25" i="11" a="1"/>
  <c r="B229" i="11" a="1"/>
  <c r="A345" i="11" a="1"/>
  <c r="B247" i="11" a="1"/>
  <c r="B132" i="11" a="1"/>
  <c r="B104" i="11" a="1"/>
  <c r="B3" i="11" a="1"/>
  <c r="B265" i="11" a="1"/>
  <c r="B254" i="11" a="1"/>
  <c r="B76" i="11" a="1"/>
  <c r="B269" i="11" a="1"/>
  <c r="B35" i="11" a="1"/>
  <c r="B213" i="11" a="1"/>
  <c r="B212" i="11" a="1"/>
  <c r="B116" i="11" a="1"/>
  <c r="B169" i="11" a="1"/>
  <c r="B109" i="11" a="1"/>
  <c r="B258" i="11" a="1"/>
  <c r="B243" i="11" a="1"/>
  <c r="B40" i="11" a="1"/>
  <c r="L89" i="9"/>
  <c r="A62" i="11" a="1"/>
  <c r="M44" i="9"/>
  <c r="B15" i="11" a="1"/>
  <c r="M329" i="9"/>
  <c r="B106" i="11" a="1"/>
  <c r="L16" i="9"/>
  <c r="A11" i="11" a="1"/>
  <c r="M758" i="9"/>
  <c r="B250" i="11" a="1"/>
  <c r="M77" i="9"/>
  <c r="B26" i="11" a="1"/>
  <c r="L53" i="9"/>
  <c r="A36" i="11" a="1"/>
  <c r="L39" i="9"/>
  <c r="A27" i="11" a="1"/>
  <c r="L100" i="9"/>
  <c r="A70" i="11" a="1"/>
  <c r="L491" i="9"/>
  <c r="A342" i="11" a="1"/>
  <c r="L638" i="9"/>
  <c r="A426" i="11" a="1"/>
  <c r="L307" i="9"/>
  <c r="A212" i="11" a="1"/>
  <c r="L377" i="9"/>
  <c r="A260" i="11" a="1"/>
  <c r="L670" i="9"/>
  <c r="A450" i="11" a="1"/>
  <c r="L479" i="9"/>
  <c r="A332" i="11" a="1"/>
  <c r="L355" i="9"/>
  <c r="A244" i="11" a="1"/>
  <c r="L716" i="9"/>
  <c r="A485" i="11" a="1"/>
  <c r="M395" i="9"/>
  <c r="B125" i="11" a="1"/>
  <c r="M841" i="9"/>
  <c r="B282" i="11" a="1"/>
  <c r="L462" i="9"/>
  <c r="A321" i="11" a="1"/>
  <c r="L458" i="9"/>
  <c r="A319" i="11" a="1"/>
  <c r="M728" i="9"/>
  <c r="B238" i="11" a="1"/>
  <c r="L73" i="9"/>
  <c r="A49" i="11" a="1"/>
  <c r="L490" i="9"/>
  <c r="A341" i="11" a="1"/>
  <c r="L693" i="9"/>
  <c r="A469" i="11" a="1"/>
  <c r="A459" i="11" a="1"/>
  <c r="A199" i="11" a="1"/>
  <c r="L363" i="9"/>
  <c r="A250" i="11" a="1"/>
  <c r="M191" i="9"/>
  <c r="B52" i="11" a="1"/>
  <c r="L613" i="9"/>
  <c r="A412" i="11" a="1"/>
  <c r="L529" i="9"/>
  <c r="A363" i="11" a="1"/>
  <c r="M865" i="9"/>
  <c r="B292" i="11" a="1"/>
  <c r="L366" i="9"/>
  <c r="A252" i="11" a="1"/>
  <c r="M51" i="9"/>
  <c r="B18" i="11" a="1"/>
  <c r="L420" i="9"/>
  <c r="A292" i="11" a="1"/>
  <c r="M620" i="9"/>
  <c r="B205" i="11" a="1"/>
  <c r="M550" i="9"/>
  <c r="B173" i="11" a="1"/>
  <c r="L485" i="9"/>
  <c r="A336" i="11" a="1"/>
  <c r="L482" i="9"/>
  <c r="A334" i="11" a="1"/>
  <c r="L465" i="9"/>
  <c r="A324" i="11" a="1"/>
  <c r="L448" i="9"/>
  <c r="A312" i="11" a="1"/>
  <c r="L424" i="9"/>
  <c r="A296" i="11" a="1"/>
  <c r="L487" i="9"/>
  <c r="A338" i="11" a="1"/>
  <c r="L318" i="9"/>
  <c r="A219" i="11" a="1"/>
  <c r="M911" i="9"/>
  <c r="B311" i="11" a="1"/>
  <c r="M561" i="9"/>
  <c r="B180" i="11" a="1"/>
  <c r="L729" i="9"/>
  <c r="A492" i="11" a="1"/>
  <c r="L469" i="9"/>
  <c r="A326" i="11" a="1"/>
  <c r="L472" i="9"/>
  <c r="A329" i="11" a="1"/>
  <c r="L453" i="9"/>
  <c r="A315" i="11" a="1"/>
  <c r="M475" i="9"/>
  <c r="B146" i="11" a="1"/>
  <c r="L616" i="9"/>
  <c r="A414" i="11" a="1"/>
  <c r="L447" i="9"/>
  <c r="A311" i="11" a="1"/>
  <c r="L439" i="9"/>
  <c r="A306" i="11" a="1"/>
  <c r="B17" i="11" a="1"/>
  <c r="B332" i="11" a="1"/>
  <c r="B38" i="11" a="1"/>
  <c r="B310" i="11" a="1"/>
  <c r="L509" i="9"/>
  <c r="A352" i="11" a="1"/>
  <c r="L484" i="9"/>
  <c r="A335" i="11" a="1"/>
  <c r="L481" i="9"/>
  <c r="A333" i="11" a="1"/>
  <c r="M995" i="9"/>
  <c r="B343" i="11" a="1"/>
  <c r="M850" i="9"/>
  <c r="B284" i="11" a="1"/>
  <c r="L552" i="9"/>
  <c r="A379" i="11" a="1"/>
  <c r="B4" i="11" a="1"/>
  <c r="B342" i="11" a="1"/>
  <c r="B34" i="11" a="1"/>
  <c r="B314" i="11" a="1"/>
  <c r="B16" i="11" a="1"/>
  <c r="B331" i="11" a="1"/>
  <c r="B48" i="11" a="1"/>
  <c r="B296" i="11" a="1"/>
  <c r="L455" i="9"/>
  <c r="A316" i="11" a="1"/>
  <c r="B274" i="11" a="1"/>
  <c r="B73" i="11" a="1"/>
  <c r="L308" i="9"/>
  <c r="A213" i="11" a="1"/>
  <c r="L476" i="9"/>
  <c r="A331" i="11" a="1"/>
  <c r="L579" i="9"/>
  <c r="A393" i="11" a="1"/>
  <c r="L4" i="9"/>
  <c r="A3" i="11" a="1"/>
  <c r="B248" i="11" a="1"/>
  <c r="B100" i="11" a="1"/>
  <c r="L47" i="9"/>
  <c r="A32" i="11" a="1"/>
  <c r="L471" i="9"/>
  <c r="A328" i="11" a="1"/>
  <c r="B209" i="11" a="1"/>
  <c r="B138" i="11" a="1"/>
  <c r="L474" i="9"/>
  <c r="A330" i="11" a="1"/>
  <c r="L416" i="9"/>
  <c r="A288" i="11" a="1"/>
  <c r="L464" i="9"/>
  <c r="A323" i="11" a="1"/>
  <c r="B32" i="11" a="1"/>
  <c r="B316" i="11" a="1"/>
  <c r="B7" i="11" a="1"/>
  <c r="B339" i="11" a="1"/>
  <c r="B12" i="11" a="1"/>
  <c r="B336" i="11" a="1"/>
  <c r="L633" i="9"/>
  <c r="A423" i="11" a="1"/>
  <c r="E5" i="10"/>
  <c r="I4" i="1"/>
  <c r="L430" i="9"/>
  <c r="A359" i="11" a="1"/>
  <c r="L169" i="9"/>
  <c r="A535" i="11" a="1"/>
  <c r="L976" i="9"/>
  <c r="A17" i="11" a="1"/>
  <c r="L833" i="9"/>
  <c r="A102" i="11" a="1"/>
  <c r="L148" i="9"/>
  <c r="A552" i="11" a="1"/>
  <c r="L919" i="9"/>
  <c r="A51" i="11" a="1"/>
  <c r="L212" i="9"/>
  <c r="A508" i="11" a="1"/>
  <c r="L140" i="9"/>
  <c r="A557" i="11" a="1"/>
  <c r="L429" i="9"/>
  <c r="A358" i="11" a="1"/>
  <c r="L927" i="9"/>
  <c r="A47" i="11" a="1"/>
  <c r="L268" i="9"/>
  <c r="A475" i="11" a="1"/>
  <c r="L426" i="9"/>
  <c r="A362" i="11" a="1"/>
  <c r="L892" i="9"/>
  <c r="A72" i="11" a="1"/>
  <c r="L811" i="9"/>
  <c r="A119" i="11" a="1"/>
  <c r="L261" i="9"/>
  <c r="A477" i="11" a="1"/>
  <c r="L777" i="9"/>
  <c r="A140" i="11" a="1"/>
  <c r="L431" i="9"/>
  <c r="A357" i="11" a="1"/>
  <c r="L304" i="9"/>
  <c r="A449" i="11" a="1"/>
  <c r="L132" i="9"/>
  <c r="A565" i="11" a="1"/>
  <c r="L296" i="9"/>
  <c r="A455" i="11" a="1"/>
  <c r="L438" i="9"/>
  <c r="A353" i="11" a="1"/>
  <c r="L175" i="9"/>
  <c r="A530" i="11" a="1"/>
  <c r="L256" i="9"/>
  <c r="A481" i="11" a="1"/>
  <c r="L422" i="9"/>
  <c r="A365" i="11" a="1"/>
  <c r="M581" i="9"/>
  <c r="B160" i="11" a="1"/>
  <c r="M871" i="9"/>
  <c r="B53" i="11" a="1"/>
  <c r="L924" i="9"/>
  <c r="A48" i="11" a="1"/>
  <c r="L984" i="9"/>
  <c r="A9" i="11" a="1"/>
  <c r="L825" i="9"/>
  <c r="A103" i="11" a="1"/>
  <c r="M883" i="9"/>
  <c r="B46" i="11" a="1"/>
  <c r="L142" i="9"/>
  <c r="A555" i="11" a="1"/>
  <c r="L444" i="9"/>
  <c r="A350" i="11" a="1"/>
  <c r="M891" i="9"/>
  <c r="B42" i="11" a="1"/>
  <c r="L173" i="9"/>
  <c r="A532" i="11" a="1"/>
  <c r="M218" i="9"/>
  <c r="B280" i="11" a="1"/>
  <c r="L785" i="9"/>
  <c r="A136" i="11" a="1"/>
  <c r="M993" i="9"/>
  <c r="B9" i="11" a="1"/>
  <c r="L177" i="9"/>
  <c r="A528" i="11" a="1"/>
  <c r="L760" i="9"/>
  <c r="A149" i="11" a="1"/>
  <c r="M428" i="9"/>
  <c r="B217" i="11" a="1"/>
  <c r="L272" i="9"/>
  <c r="A472" i="11" a="1"/>
  <c r="L365" i="9"/>
  <c r="A408" i="11" a="1"/>
  <c r="M723" i="9"/>
  <c r="B112" i="11" a="1"/>
  <c r="L312" i="9"/>
  <c r="A443" i="11" a="1"/>
  <c r="L417" i="9"/>
  <c r="A370" i="11" a="1"/>
  <c r="L899" i="9"/>
  <c r="A67" i="11" a="1"/>
  <c r="M880" i="9"/>
  <c r="B47" i="11" a="1"/>
  <c r="L157" i="9"/>
  <c r="A543" i="11" a="1"/>
  <c r="M516" i="9"/>
  <c r="B189" i="11" a="1"/>
  <c r="L774" i="9"/>
  <c r="A142" i="11" a="1"/>
  <c r="L273" i="9"/>
  <c r="A471" i="11" a="1"/>
  <c r="L906" i="9"/>
  <c r="A61" i="11" a="1"/>
  <c r="L249" i="9"/>
  <c r="A486" i="11" a="1"/>
  <c r="L215" i="9"/>
  <c r="A506" i="11" a="1"/>
  <c r="M946" i="9"/>
  <c r="B22" i="11" a="1"/>
  <c r="L320" i="9"/>
  <c r="A440" i="11" a="1"/>
  <c r="L415" i="9"/>
  <c r="A371" i="11" a="1"/>
  <c r="L822" i="9"/>
  <c r="A107" i="11" a="1"/>
  <c r="M275" i="9"/>
  <c r="B260" i="11" a="1"/>
  <c r="L989" i="9"/>
  <c r="A6" i="11" a="1"/>
  <c r="M493" i="9"/>
  <c r="B197" i="11" a="1"/>
  <c r="L375" i="9"/>
  <c r="A400" i="11" a="1"/>
  <c r="L861" i="9"/>
  <c r="A89" i="11" a="1"/>
  <c r="L404" i="9"/>
  <c r="A378" i="11" a="1"/>
  <c r="L794" i="9"/>
  <c r="A128" i="11" a="1"/>
  <c r="M783" i="9"/>
  <c r="B84" i="11" a="1"/>
  <c r="M525" i="9"/>
  <c r="B183" i="11" a="1"/>
  <c r="L779" i="9"/>
  <c r="A139" i="11" a="1"/>
  <c r="L956" i="9"/>
  <c r="A31" i="11" a="1"/>
  <c r="L156" i="9"/>
  <c r="A544" i="11" a="1"/>
  <c r="L832" i="9"/>
  <c r="A101" i="11" a="1"/>
  <c r="L225" i="9"/>
  <c r="A501" i="11" a="1"/>
  <c r="L265" i="9"/>
  <c r="A476" i="11" a="1"/>
  <c r="L166" i="9"/>
  <c r="A537" i="11" a="1"/>
  <c r="L160" i="9"/>
  <c r="A541" i="11" a="1"/>
  <c r="L912" i="9"/>
  <c r="A57" i="11" a="1"/>
  <c r="L843" i="9"/>
  <c r="A97" i="11" a="1"/>
  <c r="M521" i="9"/>
  <c r="B186" i="11" a="1"/>
  <c r="M566" i="9"/>
  <c r="B167" i="11" a="1"/>
  <c r="L130" i="9"/>
  <c r="A567" i="11" a="1"/>
  <c r="M262" i="9"/>
  <c r="B266" i="11" a="1"/>
  <c r="L141" i="9"/>
  <c r="A556" i="11" a="1"/>
  <c r="L381" i="9"/>
  <c r="A395" i="11" a="1"/>
  <c r="L936" i="9"/>
  <c r="A42" i="11" a="1"/>
  <c r="M454" i="9"/>
  <c r="B208" i="11" a="1"/>
  <c r="L240" i="9"/>
  <c r="A494" i="11" a="1"/>
  <c r="L895" i="9"/>
  <c r="A69" i="11" a="1"/>
  <c r="M860" i="9"/>
  <c r="B63" i="11" a="1"/>
  <c r="L179" i="9"/>
  <c r="A527" i="11" a="1"/>
  <c r="L182" i="9"/>
  <c r="A525" i="11" a="1"/>
  <c r="L151" i="9"/>
  <c r="A548" i="11" a="1"/>
  <c r="L228" i="9"/>
  <c r="A500" i="11" a="1"/>
  <c r="L768" i="9"/>
  <c r="A146" i="11" a="1"/>
  <c r="L183" i="9"/>
  <c r="A523" i="11" a="1"/>
  <c r="L803" i="9"/>
  <c r="A121" i="11" a="1"/>
  <c r="M520" i="9"/>
  <c r="B185" i="11" a="1"/>
  <c r="L344" i="9"/>
  <c r="A422" i="11" a="1"/>
  <c r="M236" i="9"/>
  <c r="B273" i="11" a="1"/>
  <c r="L916" i="9"/>
  <c r="A53" i="11" a="1"/>
  <c r="L824" i="9"/>
  <c r="A105" i="11" a="1"/>
  <c r="M870" i="9"/>
  <c r="B57" i="11" a="1"/>
  <c r="L146" i="9"/>
  <c r="A553" i="11" a="1"/>
  <c r="L298" i="9"/>
  <c r="A453" i="11" a="1"/>
  <c r="M271" i="9"/>
  <c r="B262" i="11" a="1"/>
  <c r="L859" i="9"/>
  <c r="A88" i="11" a="1"/>
  <c r="L139" i="9"/>
  <c r="A558" i="11" a="1"/>
  <c r="L909" i="9"/>
  <c r="A59" i="11" a="1"/>
  <c r="L232" i="9"/>
  <c r="A497" i="11" a="1"/>
  <c r="L965" i="9"/>
  <c r="A26" i="11" a="1"/>
  <c r="L889" i="9"/>
  <c r="A76" i="11" a="1"/>
  <c r="L203" i="9"/>
  <c r="A512" i="11" a="1"/>
  <c r="M687" i="9"/>
  <c r="B124" i="11" a="1"/>
  <c r="M551" i="9"/>
  <c r="B176" i="11" a="1"/>
  <c r="L952" i="9"/>
  <c r="A35" i="11" a="1"/>
  <c r="M580" i="9"/>
  <c r="B159" i="11" a="1"/>
  <c r="M622" i="9"/>
  <c r="B142" i="11" a="1"/>
  <c r="L802" i="9"/>
  <c r="A125" i="11" a="1"/>
  <c r="M356" i="9"/>
  <c r="B235" i="11" a="1"/>
  <c r="L257" i="9"/>
  <c r="A480" i="11" a="1"/>
  <c r="L389" i="9"/>
  <c r="A390" i="11" a="1"/>
  <c r="M473" i="9"/>
  <c r="B203" i="11" a="1"/>
  <c r="M364" i="9"/>
  <c r="B233" i="11" a="1"/>
  <c r="L388" i="9"/>
  <c r="A389" i="11" a="1"/>
  <c r="L831" i="9"/>
  <c r="A100" i="11" a="1"/>
  <c r="L830" i="9"/>
  <c r="A99" i="11" a="1"/>
  <c r="L961" i="9"/>
  <c r="A28" i="11" a="1"/>
  <c r="M267" i="9"/>
  <c r="B263" i="11" a="1"/>
  <c r="M913" i="9"/>
  <c r="B36" i="11" a="1"/>
  <c r="M942" i="9"/>
  <c r="B24" i="11" a="1"/>
  <c r="L955" i="9"/>
  <c r="A30" i="11" a="1"/>
  <c r="L787" i="9"/>
  <c r="A134" i="11" a="1"/>
  <c r="L926" i="9"/>
  <c r="A46" i="11" a="1"/>
  <c r="L252" i="9"/>
  <c r="A484" i="11" a="1"/>
  <c r="M987" i="9"/>
  <c r="B11" i="11" a="1"/>
  <c r="M801" i="9"/>
  <c r="B82" i="11" a="1"/>
  <c r="M575" i="9"/>
  <c r="B161" i="11" a="1"/>
  <c r="L292" i="9"/>
  <c r="A458" i="11" a="1"/>
  <c r="M460" i="9"/>
  <c r="B207" i="11" a="1"/>
  <c r="L944" i="9"/>
  <c r="A37" i="11" a="1"/>
  <c r="M778" i="9"/>
  <c r="B87" i="11" a="1"/>
  <c r="M640" i="9"/>
  <c r="B134" i="11" a="1"/>
  <c r="L970" i="9"/>
  <c r="A20" i="11" a="1"/>
  <c r="L128" i="9"/>
  <c r="A568" i="11" a="1"/>
  <c r="L360" i="9"/>
  <c r="A410" i="11" a="1"/>
  <c r="L246" i="9"/>
  <c r="A490" i="11" a="1"/>
  <c r="M459" i="9"/>
  <c r="B206" i="11" a="1"/>
  <c r="L819" i="9"/>
  <c r="A109" i="11" a="1"/>
  <c r="L371" i="9"/>
  <c r="A403" i="11" a="1"/>
  <c r="L198" i="9"/>
  <c r="A515" i="11" a="1"/>
  <c r="M977" i="9"/>
  <c r="B13" i="11" a="1"/>
  <c r="L172" i="9"/>
  <c r="A531" i="11" a="1"/>
  <c r="L847" i="9"/>
  <c r="A93" i="11" a="1"/>
  <c r="L399" i="9"/>
  <c r="A385" i="11" a="1"/>
  <c r="M835" i="9"/>
  <c r="B72" i="11" a="1"/>
  <c r="L903" i="9"/>
  <c r="A64" i="11" a="1"/>
  <c r="L421" i="9"/>
  <c r="A364" i="11" a="1"/>
  <c r="L992" i="9"/>
  <c r="A5" i="11" a="1"/>
  <c r="M888" i="9"/>
  <c r="B44" i="11" a="1"/>
  <c r="M776" i="9"/>
  <c r="B88" i="11" a="1"/>
  <c r="L295" i="9"/>
  <c r="A454" i="11" a="1"/>
  <c r="L951" i="9"/>
  <c r="A34" i="11" a="1"/>
  <c r="M718" i="9"/>
  <c r="B114" i="11" a="1"/>
  <c r="M547" i="9"/>
  <c r="B178" i="11" a="1"/>
  <c r="L879" i="9"/>
  <c r="A79" i="11" a="1"/>
  <c r="M767" i="9"/>
  <c r="B93" i="11" a="1"/>
  <c r="M506" i="9"/>
  <c r="B190" i="11" a="1"/>
  <c r="M804" i="9"/>
  <c r="B80" i="11" a="1"/>
  <c r="L138" i="9"/>
  <c r="A559" i="11" a="1"/>
  <c r="M943" i="9"/>
  <c r="B23" i="11" a="1"/>
  <c r="L258" i="9"/>
  <c r="A479" i="11" a="1"/>
  <c r="M597" i="9"/>
  <c r="B151" i="11" a="1"/>
  <c r="L288" i="9"/>
  <c r="A463" i="11" a="1"/>
  <c r="L800" i="9"/>
  <c r="A124" i="11" a="1"/>
  <c r="M887" i="9"/>
  <c r="B43" i="11" a="1"/>
  <c r="L964" i="9"/>
  <c r="A25" i="11" a="1"/>
  <c r="L368" i="9"/>
  <c r="A405" i="11" a="1"/>
  <c r="L223" i="9"/>
  <c r="A504" i="11" a="1"/>
  <c r="L297" i="9"/>
  <c r="A452" i="11" a="1"/>
  <c r="M239" i="9"/>
  <c r="B271" i="11" a="1"/>
  <c r="L147" i="9"/>
  <c r="A551" i="11" a="1"/>
  <c r="M600" i="9"/>
  <c r="B149" i="11" a="1"/>
  <c r="L278" i="9"/>
  <c r="A467" i="11" a="1"/>
  <c r="M650" i="9"/>
  <c r="B131" i="11" a="1"/>
  <c r="M556" i="9"/>
  <c r="B172" i="11" a="1"/>
  <c r="L869" i="9"/>
  <c r="A83" i="11" a="1"/>
  <c r="L237" i="9"/>
  <c r="A496" i="11" a="1"/>
  <c r="L402" i="9"/>
  <c r="A380" i="11" a="1"/>
  <c r="L349" i="9"/>
  <c r="A419" i="11" a="1"/>
  <c r="M930" i="9"/>
  <c r="B31" i="11" a="1"/>
  <c r="M234" i="9"/>
  <c r="B275" i="11" a="1"/>
  <c r="M394" i="9"/>
  <c r="B224" i="11" a="1"/>
  <c r="L314" i="9"/>
  <c r="A442" i="11" a="1"/>
  <c r="L227" i="9"/>
  <c r="A499" i="11" a="1"/>
  <c r="M1000" i="9"/>
  <c r="B2" i="11" a="1"/>
  <c r="L933" i="9"/>
  <c r="A43" i="11" a="1"/>
  <c r="L213" i="9"/>
  <c r="A507" i="11" a="1"/>
  <c r="M634" i="9"/>
  <c r="B135" i="11" a="1"/>
  <c r="M425" i="9"/>
  <c r="B218" i="11" a="1"/>
  <c r="L814" i="9"/>
  <c r="A114" i="11" a="1"/>
  <c r="L441" i="9"/>
  <c r="A348" i="11" a="1"/>
  <c r="L980" i="9"/>
  <c r="A14" i="11" a="1"/>
  <c r="L131" i="9"/>
  <c r="A566" i="11" a="1"/>
  <c r="M625" i="9"/>
  <c r="B141" i="11" a="1"/>
  <c r="L407" i="9"/>
  <c r="A376" i="11" a="1"/>
  <c r="L849" i="9"/>
  <c r="A92" i="11" a="1"/>
  <c r="M988" i="9"/>
  <c r="B10" i="11" a="1"/>
  <c r="L348" i="9"/>
  <c r="A420" i="11" a="1"/>
  <c r="L201" i="9"/>
  <c r="A513" i="11" a="1"/>
  <c r="L858" i="9"/>
  <c r="A87" i="11" a="1"/>
  <c r="L435" i="9"/>
  <c r="A355" i="11" a="1"/>
  <c r="L248" i="9"/>
  <c r="A488" i="11" a="1"/>
  <c r="M991" i="9"/>
  <c r="B8" i="11" a="1"/>
  <c r="L954" i="9"/>
  <c r="A29" i="11" a="1"/>
  <c r="M695" i="9"/>
  <c r="B122" i="11" a="1"/>
  <c r="L206" i="9"/>
  <c r="A510" i="11" a="1"/>
  <c r="M369" i="9"/>
  <c r="B231" i="11" a="1"/>
  <c r="L158" i="9"/>
  <c r="A542" i="11" a="1"/>
  <c r="L306" i="9"/>
  <c r="A446" i="11" a="1"/>
  <c r="L398" i="9"/>
  <c r="A384" i="11" a="1"/>
  <c r="M857" i="9"/>
  <c r="B62" i="11" a="1"/>
  <c r="L326" i="9"/>
  <c r="A434" i="11" a="1"/>
  <c r="M270" i="9"/>
  <c r="B261" i="11" a="1"/>
  <c r="L190" i="9"/>
  <c r="A518" i="11" a="1"/>
  <c r="L161" i="9"/>
  <c r="A540" i="11" a="1"/>
  <c r="L805" i="9"/>
  <c r="A120" i="11" a="1"/>
  <c r="L757" i="9"/>
  <c r="A148" i="11" a="1"/>
  <c r="L354" i="9"/>
  <c r="A416" i="11" a="1"/>
  <c r="L868" i="9"/>
  <c r="A82" i="11" a="1"/>
  <c r="M392" i="9"/>
  <c r="B225" i="11" a="1"/>
  <c r="M875" i="9"/>
  <c r="B50" i="11" a="1"/>
  <c r="M546" i="9"/>
  <c r="B177" i="11" a="1"/>
  <c r="M922" i="9"/>
  <c r="B33" i="11" a="1"/>
  <c r="M766" i="9"/>
  <c r="B92" i="11" a="1"/>
  <c r="M527" i="9"/>
  <c r="B182" i="11" a="1"/>
  <c r="M324" i="9"/>
  <c r="B246" i="11" a="1"/>
  <c r="M558" i="9"/>
  <c r="B170" i="11" a="1"/>
  <c r="M413" i="9"/>
  <c r="B220" i="11" a="1"/>
  <c r="L167" i="9"/>
  <c r="A536" i="11" a="1"/>
  <c r="L266" i="9"/>
  <c r="A474" i="11" a="1"/>
  <c r="L196" i="9"/>
  <c r="A516" i="11" a="1"/>
  <c r="L293" i="9"/>
  <c r="A457" i="11" a="1"/>
  <c r="M677" i="9"/>
  <c r="B126" i="11" a="1"/>
  <c r="M856" i="9"/>
  <c r="B61" i="11" a="1"/>
  <c r="L283" i="9"/>
  <c r="A465" i="11" a="1"/>
  <c r="L898" i="9"/>
  <c r="A66" i="11" a="1"/>
  <c r="L997" i="9"/>
  <c r="A4" i="11" a="1"/>
  <c r="M403" i="9"/>
  <c r="B222" i="11" a="1"/>
  <c r="L222" i="9"/>
  <c r="A503" i="11" a="1"/>
  <c r="L908" i="9"/>
  <c r="A58" i="11" a="1"/>
  <c r="L359" i="9"/>
  <c r="A411" i="11" a="1"/>
  <c r="L872" i="9"/>
  <c r="A80" i="11" a="1"/>
  <c r="M614" i="9"/>
  <c r="B145" i="11" a="1"/>
  <c r="M384" i="9"/>
  <c r="B227" i="11" a="1"/>
  <c r="L245" i="9"/>
  <c r="A489" i="11" a="1"/>
  <c r="M953" i="9"/>
  <c r="B19" i="11" a="1"/>
  <c r="L376" i="9"/>
  <c r="A399" i="11" a="1"/>
  <c r="L419" i="9"/>
  <c r="A367" i="11" a="1"/>
  <c r="L796" i="9"/>
  <c r="A127" i="11" a="1"/>
  <c r="M466" i="9"/>
  <c r="B204" i="11" a="1"/>
  <c r="L985" i="9"/>
  <c r="A8" i="11" a="1"/>
  <c r="M373" i="9"/>
  <c r="B230" i="11" a="1"/>
  <c r="L244" i="9"/>
  <c r="A491" i="11" a="1"/>
  <c r="M855" i="9"/>
  <c r="B60" i="11" a="1"/>
  <c r="L765" i="9"/>
  <c r="A145" i="11" a="1"/>
  <c r="L789" i="9"/>
  <c r="A131" i="11" a="1"/>
  <c r="M478" i="9"/>
  <c r="B201" i="11" a="1"/>
  <c r="L287" i="9"/>
  <c r="A462" i="11" a="1"/>
  <c r="L176" i="9"/>
  <c r="A529" i="11" a="1"/>
  <c r="L339" i="9"/>
  <c r="A427" i="11" a="1"/>
  <c r="M664" i="9"/>
  <c r="B128" i="11" a="1"/>
  <c r="L335" i="9"/>
  <c r="A429" i="11" a="1"/>
  <c r="M626" i="9"/>
  <c r="B140" i="11" a="1"/>
  <c r="M867" i="9"/>
  <c r="B56" i="11" a="1"/>
  <c r="M323" i="9"/>
  <c r="B245" i="11" a="1"/>
  <c r="L886" i="9"/>
  <c r="A75" i="11" a="1"/>
  <c r="L846" i="9"/>
  <c r="A95" i="11" a="1"/>
  <c r="M291" i="9"/>
  <c r="B255" i="11" a="1"/>
  <c r="L379" i="9"/>
  <c r="A396" i="11" a="1"/>
  <c r="L914" i="9"/>
  <c r="A55" i="11" a="1"/>
  <c r="L150" i="9"/>
  <c r="A549" i="11" a="1"/>
  <c r="M809" i="9"/>
  <c r="B78" i="11" a="1"/>
  <c r="L878" i="9"/>
  <c r="A78" i="11" a="1"/>
  <c r="L378" i="9"/>
  <c r="A397" i="11" a="1"/>
  <c r="L784" i="9"/>
  <c r="A135" i="11" a="1"/>
  <c r="L255" i="9"/>
  <c r="A482" i="11" a="1"/>
  <c r="L813" i="9"/>
  <c r="A115" i="11" a="1"/>
  <c r="L143" i="9"/>
  <c r="A554" i="11" a="1"/>
  <c r="L282" i="9"/>
  <c r="A464" i="11" a="1"/>
  <c r="L406" i="9"/>
  <c r="A377" i="11" a="1"/>
  <c r="M242" i="9"/>
  <c r="B270" i="11" a="1"/>
  <c r="M336" i="9"/>
  <c r="B239" i="11" a="1"/>
  <c r="M727" i="9"/>
  <c r="B110" i="11" a="1"/>
  <c r="L134" i="9"/>
  <c r="A563" i="11" a="1"/>
  <c r="L136" i="9"/>
  <c r="A561" i="11" a="1"/>
  <c r="L918" i="9"/>
  <c r="A50" i="11" a="1"/>
  <c r="M707" i="9"/>
  <c r="B117" i="11" a="1"/>
  <c r="L171" i="9"/>
  <c r="A533" i="11" a="1"/>
  <c r="M483" i="9"/>
  <c r="B198" i="11" a="1"/>
  <c r="L816" i="9"/>
  <c r="A112" i="11" a="1"/>
  <c r="L799" i="9"/>
  <c r="A123" i="11" a="1"/>
  <c r="L829" i="9"/>
  <c r="A98" i="11" a="1"/>
  <c r="L189" i="9"/>
  <c r="A519" i="11" a="1"/>
  <c r="M264" i="9"/>
  <c r="B264" i="11" a="1"/>
  <c r="M310" i="9"/>
  <c r="B251" i="11" a="1"/>
  <c r="L845" i="9"/>
  <c r="A94" i="11" a="1"/>
  <c r="M753" i="9"/>
  <c r="B101" i="11" a="1"/>
  <c r="L791" i="9"/>
  <c r="A130" i="11" a="1"/>
  <c r="M749" i="9"/>
  <c r="B102" i="11" a="1"/>
  <c r="M840" i="9"/>
  <c r="B67" i="11" a="1"/>
  <c r="L274" i="9"/>
  <c r="A470" i="11" a="1"/>
  <c r="L866" i="9"/>
  <c r="A81" i="11" a="1"/>
  <c r="M586" i="9"/>
  <c r="B157" i="11" a="1"/>
  <c r="L333" i="9"/>
  <c r="A431" i="11" a="1"/>
  <c r="L848" i="9"/>
  <c r="A91" i="11" a="1"/>
  <c r="M501" i="9"/>
  <c r="B192" i="11" a="1"/>
  <c r="M948" i="9"/>
  <c r="B21" i="11" a="1"/>
  <c r="L319" i="9"/>
  <c r="A439" i="11" a="1"/>
  <c r="M414" i="9"/>
  <c r="B219" i="11" a="1"/>
  <c r="M496" i="9"/>
  <c r="B195" i="11" a="1"/>
  <c r="L950" i="9"/>
  <c r="A33" i="11" a="1"/>
  <c r="M874" i="9"/>
  <c r="B49" i="11" a="1"/>
  <c r="L152" i="9"/>
  <c r="A547" i="11" a="1"/>
  <c r="L380" i="9"/>
  <c r="A394" i="11" a="1"/>
  <c r="L342" i="9"/>
  <c r="A424" i="11" a="1"/>
  <c r="L300" i="9"/>
  <c r="A451" i="11" a="1"/>
  <c r="L808" i="9"/>
  <c r="A118" i="11" a="1"/>
  <c r="M386" i="9"/>
  <c r="B226" i="11" a="1"/>
  <c r="L374" i="9"/>
  <c r="A401" i="11" a="1"/>
  <c r="M602" i="9"/>
  <c r="B148" i="11" a="1"/>
  <c r="M655" i="9"/>
  <c r="B130" i="11" a="1"/>
  <c r="M383" i="9"/>
  <c r="B228" i="11" a="1"/>
  <c r="L752" i="9"/>
  <c r="A150" i="11" a="1"/>
  <c r="M604" i="9"/>
  <c r="B147" i="11" a="1"/>
  <c r="L986" i="9"/>
  <c r="A7" i="11" a="1"/>
  <c r="L842" i="9"/>
  <c r="A96" i="11" a="1"/>
  <c r="L795" i="9"/>
  <c r="A126" i="11" a="1"/>
  <c r="M730" i="9"/>
  <c r="B108" i="11" a="1"/>
  <c r="L321" i="9"/>
  <c r="A435" i="11" a="1"/>
  <c r="M302" i="9"/>
  <c r="B253" i="11" a="1"/>
  <c r="M929" i="9"/>
  <c r="B30" i="11" a="1"/>
  <c r="L184" i="9"/>
  <c r="A522" i="11" a="1"/>
  <c r="M837" i="9"/>
  <c r="B70" i="11" a="1"/>
  <c r="M628" i="9"/>
  <c r="B139" i="11" a="1"/>
  <c r="M254" i="9"/>
  <c r="B268" i="11" a="1"/>
  <c r="L897" i="9"/>
  <c r="A65" i="11" a="1"/>
  <c r="M498" i="9"/>
  <c r="B194" i="11" a="1"/>
  <c r="M587" i="9"/>
  <c r="B155" i="11" a="1"/>
  <c r="M503" i="9"/>
  <c r="B191" i="11" a="1"/>
  <c r="L122" i="9"/>
  <c r="A572" i="11" a="1"/>
  <c r="L197" i="9"/>
  <c r="A514" i="11" a="1"/>
  <c r="M734" i="9"/>
  <c r="B107" i="11" a="1"/>
  <c r="M902" i="9"/>
  <c r="B39" i="11" a="1"/>
  <c r="L286" i="9"/>
  <c r="A461" i="11" a="1"/>
  <c r="L434" i="9"/>
  <c r="A354" i="11" a="1"/>
  <c r="L238" i="9"/>
  <c r="A495" i="11" a="1"/>
  <c r="M592" i="9"/>
  <c r="B154" i="11" a="1"/>
  <c r="M346" i="9"/>
  <c r="B237" i="11" a="1"/>
  <c r="L815" i="9"/>
  <c r="A111" i="11" a="1"/>
  <c r="L241" i="9"/>
  <c r="A493" i="11" a="1"/>
  <c r="L397" i="9"/>
  <c r="A383" i="11" a="1"/>
  <c r="L854" i="9"/>
  <c r="A86" i="11" a="1"/>
  <c r="M224" i="9"/>
  <c r="B279" i="11" a="1"/>
  <c r="M555" i="9"/>
  <c r="B171" i="11" a="1"/>
  <c r="L194" i="9"/>
  <c r="A517" i="11" a="1"/>
  <c r="L361" i="9"/>
  <c r="A409" i="11" a="1"/>
  <c r="M864" i="9"/>
  <c r="B54" i="11" a="1"/>
  <c r="M584" i="9"/>
  <c r="B158" i="11" a="1"/>
  <c r="M412" i="9"/>
  <c r="B221" i="11" a="1"/>
  <c r="L411" i="9"/>
  <c r="A373" i="11" a="1"/>
  <c r="M528" i="9"/>
  <c r="B181" i="11" a="1"/>
  <c r="L370" i="9"/>
  <c r="A404" i="11" a="1"/>
  <c r="L188" i="9"/>
  <c r="A520" i="11" a="1"/>
  <c r="M773" i="9"/>
  <c r="B89" i="11" a="1"/>
  <c r="M595" i="9"/>
  <c r="B152" i="11" a="1"/>
  <c r="M947" i="9"/>
  <c r="B20" i="11" a="1"/>
  <c r="L975" i="9"/>
  <c r="A16" i="11" a="1"/>
  <c r="L418" i="9"/>
  <c r="A368" i="11" a="1"/>
  <c r="M565" i="9"/>
  <c r="B166" i="11" a="1"/>
  <c r="M828" i="9"/>
  <c r="B75" i="11" a="1"/>
  <c r="M619" i="9"/>
  <c r="B143" i="11" a="1"/>
  <c r="M932" i="9"/>
  <c r="B29" i="11" a="1"/>
  <c r="M666" i="9"/>
  <c r="B127" i="11" a="1"/>
  <c r="L821" i="9"/>
  <c r="A106" i="11" a="1"/>
  <c r="L934" i="9"/>
  <c r="A41" i="11" a="1"/>
  <c r="M827" i="9"/>
  <c r="B74" i="11" a="1"/>
  <c r="M756" i="9"/>
  <c r="B97" i="11" a="1"/>
  <c r="M639" i="9"/>
  <c r="B133" i="11" a="1"/>
  <c r="M780" i="9"/>
  <c r="B86" i="11" a="1"/>
  <c r="M477" i="9"/>
  <c r="B200" i="11" a="1"/>
  <c r="M839" i="9"/>
  <c r="B66" i="11" a="1"/>
  <c r="M863" i="9"/>
  <c r="B58" i="11" a="1"/>
  <c r="M696" i="9"/>
  <c r="B121" i="11" a="1"/>
  <c r="L974" i="9"/>
  <c r="A15" i="11" a="1"/>
  <c r="L259" i="9"/>
  <c r="A478" i="11" a="1"/>
  <c r="L204" i="9"/>
  <c r="A511" i="11" a="1"/>
  <c r="L962" i="9"/>
  <c r="A23" i="11" a="1"/>
  <c r="L181" i="9"/>
  <c r="A524" i="11" a="1"/>
  <c r="L797" i="9"/>
  <c r="A122" i="11" a="1"/>
  <c r="L396" i="9"/>
  <c r="A382" i="11" a="1"/>
  <c r="L120" i="9"/>
  <c r="A571" i="11" a="1"/>
  <c r="M658" i="9"/>
  <c r="B129" i="11" a="1"/>
  <c r="L410" i="9"/>
  <c r="A372" i="11" a="1"/>
  <c r="L982" i="9"/>
  <c r="A10" i="11" a="1"/>
  <c r="L812" i="9"/>
  <c r="A116" i="11" a="1"/>
  <c r="M844" i="9"/>
  <c r="B65" i="11" a="1"/>
  <c r="L119" i="9"/>
  <c r="A570" i="11" a="1"/>
  <c r="L207" i="9"/>
  <c r="A509" i="11" a="1"/>
  <c r="M432" i="9"/>
  <c r="B215" i="11" a="1"/>
  <c r="L153" i="9"/>
  <c r="A546" i="11" a="1"/>
  <c r="L165" i="9"/>
  <c r="A538" i="11" a="1"/>
  <c r="L118" i="9"/>
  <c r="A569" i="11" a="1"/>
  <c r="L885" i="9"/>
  <c r="A74" i="11" a="1"/>
  <c r="L772" i="9"/>
  <c r="A141" i="11" a="1"/>
  <c r="L332" i="9"/>
  <c r="A430" i="11" a="1"/>
  <c r="M281" i="9"/>
  <c r="B259" i="11" a="1"/>
  <c r="L928" i="9"/>
  <c r="A45" i="11" a="1"/>
  <c r="L853" i="9"/>
  <c r="A85" i="11" a="1"/>
  <c r="L317" i="9"/>
  <c r="A437" i="11" a="1"/>
  <c r="L352" i="9"/>
  <c r="A417" i="11" a="1"/>
  <c r="M549" i="9"/>
  <c r="B174" i="11" a="1"/>
  <c r="M807" i="9"/>
  <c r="B77" i="11" a="1"/>
  <c r="L979" i="9"/>
  <c r="A13" i="11" a="1"/>
  <c r="L220" i="9"/>
  <c r="A505" i="11" a="1"/>
  <c r="L423" i="9"/>
  <c r="A360" i="11" a="1"/>
  <c r="L178" i="9"/>
  <c r="A526" i="11" a="1"/>
  <c r="L149" i="9"/>
  <c r="A550" i="11" a="1"/>
  <c r="L967" i="9"/>
  <c r="A21" i="11" a="1"/>
  <c r="L135" i="9"/>
  <c r="A562" i="11" a="1"/>
  <c r="L269" i="9"/>
  <c r="A473" i="11" a="1"/>
  <c r="L890" i="9"/>
  <c r="A71" i="11" a="1"/>
  <c r="L393" i="9"/>
  <c r="A387" i="11" a="1"/>
  <c r="L910" i="9"/>
  <c r="A56" i="11" a="1"/>
  <c r="L788" i="9"/>
  <c r="A133" i="11" a="1"/>
  <c r="L806" i="9"/>
  <c r="A117" i="11" a="1"/>
  <c r="L904" i="9"/>
  <c r="A60" i="11" a="1"/>
  <c r="L823" i="9"/>
  <c r="A104" i="11" a="1"/>
  <c r="L276" i="9"/>
  <c r="A468" i="11" a="1"/>
  <c r="L230" i="9"/>
  <c r="A498" i="11" a="1"/>
  <c r="L931" i="9"/>
  <c r="A44" i="11" a="1"/>
  <c r="L762" i="9"/>
  <c r="A147" i="11" a="1"/>
  <c r="L221" i="9"/>
  <c r="A502" i="11" a="1"/>
  <c r="L901" i="9"/>
  <c r="A63" i="11" a="1"/>
  <c r="L763" i="9"/>
  <c r="A144" i="11" a="1"/>
  <c r="L372" i="9"/>
  <c r="A402" i="11" a="1"/>
  <c r="L253" i="9"/>
  <c r="A483" i="11" a="1"/>
  <c r="L941" i="9"/>
  <c r="A39" i="11" a="1"/>
  <c r="L279" i="9"/>
  <c r="A466" i="11" a="1"/>
  <c r="L862" i="9"/>
  <c r="A84" i="11" a="1"/>
  <c r="L915" i="9"/>
  <c r="A52" i="11" a="1"/>
  <c r="L818" i="9"/>
  <c r="A108" i="11" a="1"/>
  <c r="L409" i="9"/>
  <c r="A374" i="11" a="1"/>
  <c r="L391" i="9"/>
  <c r="A388" i="11" a="1"/>
  <c r="L162" i="9"/>
  <c r="A539" i="11" a="1"/>
  <c r="L168" i="9"/>
  <c r="A534" i="11" a="1"/>
  <c r="L247" i="9"/>
  <c r="A487" i="11" a="1"/>
  <c r="L137" i="9"/>
  <c r="A560" i="11" a="1"/>
  <c r="L881" i="9"/>
  <c r="A77" i="11" a="1"/>
  <c r="T18" i="9" a="1"/>
  <c r="B123" i="11" a="1"/>
  <c r="L884" i="9"/>
  <c r="A73" i="11" a="1"/>
  <c r="L353" i="9"/>
  <c r="A415" i="11" a="1"/>
  <c r="H4" i="1"/>
  <c r="H3" i="1"/>
  <c r="H9" i="1"/>
  <c r="H2" i="1"/>
  <c r="H5" i="1"/>
  <c r="H7" i="1"/>
  <c r="E2" i="10"/>
  <c r="E7" i="3"/>
  <c r="M969" i="9"/>
  <c r="B333" i="11" a="1"/>
  <c r="L33" i="9"/>
  <c r="A24" i="11" a="1"/>
  <c r="L18" i="9"/>
  <c r="A12" i="11" a="1"/>
  <c r="L505" i="9"/>
  <c r="A349" i="11" a="1"/>
  <c r="L668" i="9"/>
  <c r="A448" i="11" a="1"/>
  <c r="L654" i="9"/>
  <c r="A438" i="11" a="1"/>
  <c r="L607" i="9"/>
  <c r="A406" i="11" a="1"/>
  <c r="L524" i="9"/>
  <c r="A361" i="11" a="1"/>
  <c r="L615" i="9"/>
  <c r="A413" i="11" a="1"/>
  <c r="M311" i="9"/>
  <c r="B98" i="11" a="1"/>
  <c r="M719" i="9"/>
  <c r="B234" i="11" a="1"/>
  <c r="M260" i="9"/>
  <c r="B81" i="11" a="1"/>
  <c r="M972" i="9"/>
  <c r="B334" i="11" a="1"/>
  <c r="M996" i="9"/>
  <c r="B344" i="11" a="1"/>
  <c r="M284" i="9"/>
  <c r="B91" i="11" a="1"/>
  <c r="L557" i="9"/>
  <c r="A381" i="11" a="1"/>
  <c r="M195" i="9"/>
  <c r="B55" i="11" a="1"/>
  <c r="M117" i="9"/>
  <c r="B37" i="11" a="1"/>
  <c r="M536" i="9"/>
  <c r="B168" i="11" a="1"/>
  <c r="M958" i="9"/>
  <c r="B330" i="11" a="1"/>
  <c r="L187" i="9"/>
  <c r="A137" i="11" a="1"/>
  <c r="M736" i="9"/>
  <c r="B242" i="11" a="1"/>
  <c r="M770" i="9"/>
  <c r="B257" i="11" a="1"/>
  <c r="L676" i="9"/>
  <c r="A456" i="11" a="1"/>
  <c r="L590" i="9"/>
  <c r="A398" i="11" a="1"/>
  <c r="L542" i="9"/>
  <c r="A375" i="11" a="1"/>
  <c r="M632" i="9"/>
  <c r="B211" i="11" a="1"/>
  <c r="L608" i="9"/>
  <c r="A407" i="11" a="1"/>
  <c r="M523" i="9"/>
  <c r="B164" i="11" a="1"/>
  <c r="L26" i="9"/>
  <c r="A18" i="11" a="1"/>
  <c r="M630" i="9"/>
  <c r="B210" i="11" a="1"/>
  <c r="L667" i="9"/>
  <c r="A447" i="11" a="1"/>
  <c r="M144" i="9"/>
  <c r="B41" i="11" a="1"/>
  <c r="L578" i="9"/>
  <c r="A392" i="11" a="1"/>
  <c r="M502" i="9"/>
  <c r="B156" i="11" a="1"/>
  <c r="L494" i="9"/>
  <c r="A344" i="11" a="1"/>
  <c r="M724" i="9"/>
  <c r="B236" i="11" a="1"/>
  <c r="M12" i="9"/>
  <c r="B5" i="11" a="1"/>
  <c r="L659" i="9"/>
  <c r="A441" i="11" a="1"/>
  <c r="M347" i="9"/>
  <c r="B111" i="11" a="1"/>
  <c r="L58" i="9"/>
  <c r="A40" i="11" a="1"/>
  <c r="M313" i="9"/>
  <c r="B99" i="11" a="1"/>
  <c r="M761" i="9"/>
  <c r="B252" i="11" a="1"/>
  <c r="L663" i="9"/>
  <c r="A445" i="11" a="1"/>
  <c r="M940" i="9"/>
  <c r="B323" i="11" a="1"/>
  <c r="M468" i="9"/>
  <c r="B144" i="11" a="1"/>
  <c r="M877" i="9"/>
  <c r="B300" i="11" a="1"/>
  <c r="M836" i="9"/>
  <c r="B277" i="11" a="1"/>
  <c r="M601" i="9"/>
  <c r="B199" i="11" a="1"/>
  <c r="M205" i="9"/>
  <c r="B59" i="11" a="1"/>
  <c r="M596" i="9"/>
  <c r="B196" i="11" a="1"/>
  <c r="M769" i="9"/>
  <c r="B256" i="11" a="1"/>
  <c r="M554" i="9"/>
  <c r="B175" i="11" a="1"/>
  <c r="M522" i="9"/>
  <c r="B163" i="11" a="1"/>
  <c r="M679" i="9"/>
  <c r="B223" i="11" a="1"/>
  <c r="L27" i="9"/>
  <c r="A19" i="11" a="1"/>
  <c r="M219" i="9"/>
  <c r="B68" i="11" a="1"/>
  <c r="M81" i="9"/>
  <c r="B27" i="11" a="1"/>
  <c r="L652" i="9"/>
  <c r="A436" i="11" a="1"/>
  <c r="M606" i="9"/>
  <c r="B202" i="11" a="1"/>
  <c r="L467" i="9"/>
  <c r="A325" i="11" a="1"/>
  <c r="M876" i="9"/>
  <c r="B299" i="11" a="1"/>
  <c r="M939" i="9"/>
  <c r="B322" i="11" a="1"/>
  <c r="L577" i="9"/>
  <c r="A391" i="11" a="1"/>
  <c r="L508" i="9"/>
  <c r="A351" i="11" a="1"/>
  <c r="L457" i="9"/>
  <c r="A318" i="11" a="1"/>
  <c r="M382" i="9"/>
  <c r="B119" i="11" a="1"/>
  <c r="L449" i="9"/>
  <c r="A313" i="11" a="1"/>
  <c r="L623" i="9"/>
  <c r="A418" i="11" a="1"/>
  <c r="M325" i="9"/>
  <c r="B103" i="11" a="1"/>
  <c r="M644" i="9"/>
  <c r="B216" i="11" a="1"/>
  <c r="M748" i="9"/>
  <c r="B244" i="11" a="1"/>
  <c r="L662" i="9"/>
  <c r="A444" i="11" a="1"/>
  <c r="L535" i="9"/>
  <c r="A369" i="11" a="1"/>
  <c r="L489" i="9"/>
  <c r="A340" i="11" a="1"/>
  <c r="M589" i="9"/>
  <c r="B193" i="11" a="1"/>
  <c r="M214" i="9"/>
  <c r="B64" i="11" a="1"/>
  <c r="M998" i="9"/>
  <c r="B345" i="11" a="1"/>
  <c r="M263" i="9"/>
  <c r="B83" i="11" a="1"/>
  <c r="M299" i="9"/>
  <c r="B94" i="11" a="1"/>
  <c r="L499" i="9"/>
  <c r="A346" i="11" a="1"/>
  <c r="M84" i="9"/>
  <c r="B28" i="11" a="1"/>
  <c r="M826" i="9"/>
  <c r="B272" i="11" a="1"/>
  <c r="M250" i="9"/>
  <c r="B79" i="11" a="1"/>
  <c r="L500" i="9"/>
  <c r="A347" i="11" a="1"/>
  <c r="M42" i="9"/>
  <c r="B14" i="11" a="1"/>
  <c r="L637" i="9"/>
  <c r="A425" i="11" a="1"/>
  <c r="M920" i="9"/>
  <c r="B313" i="11" a="1"/>
  <c r="L629" i="9"/>
  <c r="A421" i="11" a="1"/>
  <c r="M163" i="9"/>
  <c r="B45" i="11" a="1"/>
  <c r="L456" i="9"/>
  <c r="A317" i="11" a="1"/>
  <c r="L567" i="9"/>
  <c r="A386" i="11" a="1"/>
  <c r="M446" i="9"/>
  <c r="B137" i="11" a="1"/>
  <c r="L55" i="9"/>
  <c r="A38" i="11" a="1"/>
  <c r="L647" i="9"/>
  <c r="A432" i="11" a="1"/>
  <c r="M937" i="9"/>
  <c r="B321" i="11" a="1"/>
  <c r="M445" i="9"/>
  <c r="B136" i="11" a="1"/>
  <c r="L30" i="9"/>
  <c r="A22" i="11" a="1"/>
  <c r="M708" i="9"/>
  <c r="B232" i="11" a="1"/>
  <c r="M560" i="9"/>
  <c r="B179" i="11" a="1"/>
  <c r="M732" i="9"/>
  <c r="B240" i="11" a="1"/>
  <c r="L532" i="9"/>
  <c r="A366" i="11" a="1"/>
  <c r="L6" i="1"/>
  <c r="K6" i="1"/>
  <c r="H6" i="1"/>
  <c r="L8" i="1"/>
  <c r="K8" i="1"/>
  <c r="H8" i="1"/>
  <c r="L4" i="1"/>
  <c r="K4" i="1"/>
  <c r="L3" i="1"/>
  <c r="K3" i="1"/>
  <c r="L9" i="1"/>
  <c r="K9" i="1"/>
  <c r="L2" i="1"/>
  <c r="K2" i="1"/>
  <c r="L5" i="1"/>
  <c r="K5" i="1"/>
  <c r="L7" i="1"/>
  <c r="K7" i="1"/>
  <c r="L754" i="9"/>
  <c r="D3" i="5"/>
  <c r="D2" i="5"/>
  <c r="J6" i="1"/>
  <c r="J4" i="1"/>
  <c r="J3" i="1"/>
  <c r="J2" i="1"/>
  <c r="J7" i="1"/>
  <c r="G6" i="1"/>
  <c r="G4" i="1"/>
  <c r="G9" i="1"/>
  <c r="G5" i="1"/>
  <c r="J8" i="1"/>
  <c r="J9" i="1"/>
  <c r="J5" i="1"/>
  <c r="G8" i="1"/>
  <c r="G3" i="1"/>
  <c r="G2" i="1"/>
  <c r="G7" i="1"/>
  <c r="T11" i="9"/>
  <c r="L290" i="9"/>
  <c r="D4" i="3"/>
  <c r="D6" i="3"/>
  <c r="D2" i="3"/>
  <c r="D3" i="3"/>
  <c r="D5" i="3"/>
  <c r="D7" i="3"/>
  <c r="D3" i="10"/>
  <c r="D6" i="10"/>
  <c r="D5" i="10"/>
  <c r="D7" i="10"/>
  <c r="D4" i="10"/>
  <c r="D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<sst xmlns="http://schemas.openxmlformats.org/spreadsheetml/2006/main" count="4133" uniqueCount="72">
  <si>
    <t>CampaignName</t>
  </si>
  <si>
    <t>total_spend</t>
  </si>
  <si>
    <t>total_revenue</t>
  </si>
  <si>
    <t>total_impressions</t>
  </si>
  <si>
    <t>total_clicks</t>
  </si>
  <si>
    <t>total_conversions</t>
  </si>
  <si>
    <t>roi</t>
  </si>
  <si>
    <t>conversion_rate</t>
  </si>
  <si>
    <t>Radio Ads</t>
  </si>
  <si>
    <t>TV Commercials</t>
  </si>
  <si>
    <t>Billboards</t>
  </si>
  <si>
    <t>Social Media Ads</t>
  </si>
  <si>
    <t>Search Engine Ads</t>
  </si>
  <si>
    <t>Content Marketing</t>
  </si>
  <si>
    <t>Email Marketing</t>
  </si>
  <si>
    <t>Influencer Marketing</t>
  </si>
  <si>
    <t>region</t>
  </si>
  <si>
    <t>Africa</t>
  </si>
  <si>
    <t>North America</t>
  </si>
  <si>
    <t>South America</t>
  </si>
  <si>
    <t>Europe</t>
  </si>
  <si>
    <t>Asia</t>
  </si>
  <si>
    <t>Oceania</t>
  </si>
  <si>
    <t>industry</t>
  </si>
  <si>
    <t>Finance</t>
  </si>
  <si>
    <t>Automotive</t>
  </si>
  <si>
    <t>Healthcare</t>
  </si>
  <si>
    <t>Tech</t>
  </si>
  <si>
    <t>Retail</t>
  </si>
  <si>
    <t>Education</t>
  </si>
  <si>
    <t>type</t>
  </si>
  <si>
    <t>Traditional</t>
  </si>
  <si>
    <t>Digital</t>
  </si>
  <si>
    <t>campaignname</t>
  </si>
  <si>
    <t>spend</t>
  </si>
  <si>
    <t>revenue</t>
  </si>
  <si>
    <t>CampaignID</t>
  </si>
  <si>
    <t>Type</t>
  </si>
  <si>
    <t>Region</t>
  </si>
  <si>
    <t>Industry</t>
  </si>
  <si>
    <t>Spend</t>
  </si>
  <si>
    <t>Impressions</t>
  </si>
  <si>
    <t>Clicks</t>
  </si>
  <si>
    <t>Conversions</t>
  </si>
  <si>
    <t>Revenue</t>
  </si>
  <si>
    <t>ROI</t>
  </si>
  <si>
    <t>Correlation: Spend vs ROI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</si>
  <si>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</si>
  <si>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</si>
  <si>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</si>
  <si>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</si>
  <si>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</si>
  <si>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</si>
  <si>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</si>
  <si>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</si>
  <si>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</si>
  <si>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</si>
  <si>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</si>
  <si>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Digital ROI</t>
  </si>
  <si>
    <t>Traditional ROI</t>
  </si>
  <si>
    <t>Region:</t>
  </si>
  <si>
    <t>Industry:</t>
  </si>
  <si>
    <t>Spend:</t>
  </si>
  <si>
    <t>ROI:</t>
  </si>
  <si>
    <t>SEARCH  FOR A CAMPAIGN</t>
  </si>
  <si>
    <t>Enter Campaign ID:</t>
  </si>
  <si>
    <t>Data Quality Check</t>
  </si>
  <si>
    <t>roas</t>
  </si>
  <si>
    <t>ctr</t>
  </si>
  <si>
    <t>cpc</t>
  </si>
  <si>
    <t>cpa</t>
  </si>
  <si>
    <t>Campaign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</si>
</sst>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0.0000"/>
  </numFmts>
  <fonts count="9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11"/>
      <color theme="1"/>
      <name val="Cascadia Code Light"/>
      <family val="3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A6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AD4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rgb="FFA9D08E"/>
      </top>
      <bottom/>
      <diagonal/>
    </border>
    <border>
      <left/>
      <right style="medium">
        <color rgb="FFA9D08E"/>
      </right>
      <top style="medium">
        <color rgb="FFA9D08E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6">
    <xf numFmtId="0" fontId="0" fillId="0" borderId="0" xfId="0"/>
    <xf numFmtId="0" fontId="0" fillId="3" borderId="0" xfId="0" applyFill="1"/>
    <xf numFmtId="2" fontId="0" fillId="0" borderId="0" xfId="0" applyNumberFormat="1"/>
    <xf numFmtId="0" fontId="0" fillId="0" borderId="3" xfId="0" applyBorder="1"/>
    <xf numFmtId="0" fontId="0" fillId="0" borderId="4" xfId="0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0" fillId="6" borderId="6" xfId="0" applyFill="1" applyBorder="1"/>
    <xf numFmtId="0" fontId="0" fillId="6" borderId="7" xfId="0" applyFill="1" applyBorder="1"/>
    <xf numFmtId="0" fontId="0" fillId="0" borderId="6" xfId="0" applyBorder="1"/>
    <xf numFmtId="0" fontId="0" fillId="0" borderId="7" xfId="0" applyBorder="1"/>
    <xf numFmtId="0" fontId="0" fillId="6" borderId="3" xfId="0" applyFill="1" applyBorder="1"/>
    <xf numFmtId="0" fontId="2" fillId="0" borderId="0" xfId="0" applyFont="1"/>
    <xf numFmtId="164" fontId="2" fillId="5" borderId="7" xfId="0" applyNumberFormat="1" applyFont="1" applyFill="1" applyBorder="1"/>
    <xf numFmtId="164" fontId="0" fillId="6" borderId="7" xfId="0" applyNumberFormat="1" applyFill="1" applyBorder="1"/>
    <xf numFmtId="164" fontId="0" fillId="0" borderId="7" xfId="0" applyNumberFormat="1" applyBorder="1"/>
    <xf numFmtId="164" fontId="0" fillId="0" borderId="0" xfId="0" applyNumberFormat="1"/>
    <xf numFmtId="10" fontId="2" fillId="5" borderId="7" xfId="0" applyNumberFormat="1" applyFont="1" applyFill="1" applyBorder="1"/>
    <xf numFmtId="10" fontId="2" fillId="5" borderId="8" xfId="0" applyNumberFormat="1" applyFont="1" applyFill="1" applyBorder="1"/>
    <xf numFmtId="10" fontId="0" fillId="6" borderId="7" xfId="0" applyNumberFormat="1" applyFill="1" applyBorder="1"/>
    <xf numFmtId="10" fontId="0" fillId="0" borderId="0" xfId="0" applyNumberFormat="1"/>
    <xf numFmtId="10" fontId="0" fillId="6" borderId="8" xfId="0" applyNumberFormat="1" applyFill="1" applyBorder="1"/>
    <xf numFmtId="10" fontId="0" fillId="0" borderId="8" xfId="0" applyNumberFormat="1" applyBorder="1"/>
    <xf numFmtId="10" fontId="0" fillId="0" borderId="5" xfId="0" applyNumberFormat="1" applyBorder="1"/>
    <xf numFmtId="164" fontId="0" fillId="6" borderId="7" xfId="1" applyNumberFormat="1" applyFont="1" applyFill="1" applyBorder="1"/>
    <xf numFmtId="0" fontId="2" fillId="7" borderId="0" xfId="0" applyFont="1" applyFill="1"/>
    <xf numFmtId="2" fontId="0" fillId="7" borderId="0" xfId="0" applyNumberFormat="1" applyFill="1"/>
    <xf numFmtId="0" fontId="0" fillId="7" borderId="0" xfId="0" applyFill="1"/>
    <xf numFmtId="0" fontId="0" fillId="0" borderId="12" xfId="0" applyBorder="1"/>
    <xf numFmtId="0" fontId="0" fillId="0" borderId="13" xfId="0" applyBorder="1"/>
    <xf numFmtId="0" fontId="3" fillId="0" borderId="12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6" fillId="8" borderId="9" xfId="0" applyFont="1" applyFill="1" applyBorder="1" applyAlignment="1">
      <alignment horizontal="left"/>
    </xf>
    <xf numFmtId="164" fontId="6" fillId="8" borderId="9" xfId="0" applyNumberFormat="1" applyFont="1" applyFill="1" applyBorder="1" applyAlignment="1">
      <alignment horizontal="left"/>
    </xf>
    <xf numFmtId="10" fontId="6" fillId="8" borderId="9" xfId="0" applyNumberFormat="1" applyFont="1" applyFill="1" applyBorder="1" applyAlignment="1">
      <alignment horizontal="left"/>
    </xf>
    <xf numFmtId="0" fontId="6" fillId="2" borderId="13" xfId="0" applyFont="1" applyFill="1" applyBorder="1" applyAlignment="1">
      <alignment horizontal="center"/>
    </xf>
    <xf numFmtId="0" fontId="7" fillId="9" borderId="15" xfId="0" applyFont="1" applyFill="1" applyBorder="1" applyAlignment="1">
      <alignment vertical="center"/>
    </xf>
    <xf numFmtId="0" fontId="7" fillId="9" borderId="16" xfId="0" applyFont="1" applyFill="1" applyBorder="1" applyAlignment="1">
      <alignment vertical="center"/>
    </xf>
    <xf numFmtId="10" fontId="8" fillId="0" borderId="0" xfId="0" applyNumberFormat="1" applyFont="1" applyAlignment="1">
      <alignment horizontal="right" vertical="center"/>
    </xf>
    <xf numFmtId="0" fontId="0" fillId="4" borderId="0" xfId="0" applyFill="1"/>
    <xf numFmtId="0" fontId="0" fillId="0" borderId="1" xfId="0" applyBorder="1"/>
    <xf numFmtId="0" fontId="1" fillId="0" borderId="2" xfId="0" applyFont="1" applyBorder="1" applyAlignment="1">
      <alignment horizontal="center"/>
    </xf>
    <xf numFmtId="165" fontId="0" fillId="0" borderId="0" xfId="0" applyNumberFormat="1"/>
    <xf numFmtId="2" fontId="0" fillId="0" borderId="1" xfId="0" applyNumberFormat="1" applyBorder="1"/>
    <xf numFmtId="10" fontId="0" fillId="4" borderId="0" xfId="0" applyNumberFormat="1" applyFill="1"/>
    <xf numFmtId="0" fontId="2" fillId="5" borderId="3" xfId="0" applyFont="1" applyFill="1" applyBorder="1"/>
    <xf numFmtId="0" fontId="3" fillId="2" borderId="0" xfId="0" applyFont="1" applyFill="1"/>
    <xf numFmtId="0" fontId="2" fillId="5" borderId="7" xfId="0" applyFont="1" applyFill="1" applyBorder="1" applyAlignment="1">
      <alignment horizontal="center"/>
    </xf>
    <xf numFmtId="164" fontId="2" fillId="5" borderId="7" xfId="0" applyNumberFormat="1" applyFont="1" applyFill="1" applyBorder="1" applyAlignment="1">
      <alignment horizontal="center"/>
    </xf>
    <xf numFmtId="10" fontId="2" fillId="5" borderId="7" xfId="0" applyNumberFormat="1" applyFont="1" applyFill="1" applyBorder="1" applyAlignment="1">
      <alignment horizontal="center"/>
    </xf>
    <xf numFmtId="10" fontId="2" fillId="5" borderId="8" xfId="0" applyNumberFormat="1" applyFont="1" applyFill="1" applyBorder="1" applyAlignment="1">
      <alignment horizontal="center"/>
    </xf>
    <xf numFmtId="10" fontId="2" fillId="5" borderId="0" xfId="0" applyNumberFormat="1" applyFont="1" applyFill="1" applyAlignment="1">
      <alignment horizontal="center"/>
    </xf>
    <xf numFmtId="0" fontId="0" fillId="6" borderId="7" xfId="0" applyFill="1" applyBorder="1" applyAlignment="1">
      <alignment horizontal="center"/>
    </xf>
    <xf numFmtId="164" fontId="0" fillId="6" borderId="7" xfId="0" applyNumberFormat="1" applyFill="1" applyBorder="1" applyAlignment="1">
      <alignment horizontal="center"/>
    </xf>
    <xf numFmtId="10" fontId="0" fillId="6" borderId="7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36">
    <dxf>
      <numFmt numFmtId="14" formatCode="0.00%"/>
    </dxf>
    <dxf>
      <numFmt numFmtId="14" formatCode="0.00%"/>
    </dxf>
    <dxf>
      <numFmt numFmtId="14" formatCode="0.00%"/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_-[$$-409]* #,##0.00_ ;_-[$$-409]* \-#,##0.00\ ;_-[$$-409]* &quot;-&quot;??_ ;_-@_ 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64" formatCode="_-[$$-409]* #,##0.00_ ;_-[$$-409]* \-#,##0.00\ ;_-[$$-409]* &quot;-&quot;??_ ;_-@_ 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_-[$$-409]* #,##0.00_ ;_-[$$-409]* \-#,##0.00\ ;_-[$$-409]* &quot;-&quot;??_ ;_-@_ 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64" formatCode="_-[$$-409]* #,##0.00_ ;_-[$$-409]* \-#,##0.00\ ;_-[$$-409]* &quot;-&quot;??_ ;_-@_ 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</border>
    </dxf>
    <dxf>
      <numFmt numFmtId="14" formatCode="0.00%"/>
    </dxf>
    <dxf>
      <numFmt numFmtId="14" formatCode="0.00%"/>
    </dxf>
    <dxf>
      <fill>
        <patternFill patternType="solid">
          <fgColor indexed="64"/>
          <bgColor rgb="FF92D050"/>
        </patternFill>
      </fill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left style="thin">
          <color theme="9" tint="0.39997558519241921"/>
        </lef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A6262"/>
      <color rgb="FF0013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ROI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campaign KPIs'!$G$1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campaign KPIs'!$A$2:$A$9</c:f>
              <c:strCache>
                <c:ptCount val="8"/>
                <c:pt idx="0">
                  <c:v>TV Commercials</c:v>
                </c:pt>
                <c:pt idx="1">
                  <c:v>Social Media Ads</c:v>
                </c:pt>
                <c:pt idx="2">
                  <c:v>Search Engine Ads</c:v>
                </c:pt>
                <c:pt idx="3">
                  <c:v>Radio Ads</c:v>
                </c:pt>
                <c:pt idx="4">
                  <c:v>Influencer Marketing</c:v>
                </c:pt>
                <c:pt idx="5">
                  <c:v>Email Marketing</c:v>
                </c:pt>
                <c:pt idx="6">
                  <c:v>Content Marketing</c:v>
                </c:pt>
                <c:pt idx="7">
                  <c:v>Billboards</c:v>
                </c:pt>
              </c:strCache>
            </c:strRef>
          </c:cat>
          <c:val>
            <c:numRef>
              <c:f>'By campaign KPIs'!$G$2:$G$9</c:f>
              <c:numCache>
                <c:formatCode>0.00%</c:formatCode>
                <c:ptCount val="8"/>
                <c:pt idx="0">
                  <c:v>0.70818356821134565</c:v>
                </c:pt>
                <c:pt idx="1">
                  <c:v>0.67300320752214959</c:v>
                </c:pt>
                <c:pt idx="2">
                  <c:v>0.63172272424604592</c:v>
                </c:pt>
                <c:pt idx="3">
                  <c:v>0.73880257172718689</c:v>
                </c:pt>
                <c:pt idx="4">
                  <c:v>0.59275993061227505</c:v>
                </c:pt>
                <c:pt idx="5">
                  <c:v>0.58741954239123451</c:v>
                </c:pt>
                <c:pt idx="6">
                  <c:v>0.6203843092473863</c:v>
                </c:pt>
                <c:pt idx="7">
                  <c:v>0.70510863900677201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0-4AF2-9C68-118466BB1D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022496"/>
        <c:axId val="1307484752"/>
      </c:barChart>
      <c:catAx>
        <c:axId val="130602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484752"/>
        <c:crosses val="autoZero"/>
        <c:auto val="1"/>
        <c:lblAlgn val="ctr"/>
        <c:lblOffset val="100"/>
        <c:noMultiLvlLbl val="0"/>
      </c:catAx>
      <c:valAx>
        <c:axId val="13074847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02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0" i="0" u="none" strike="noStrike" baseline="0">
                <a:solidFill>
                  <a:srgbClr val="00133A"/>
                </a:solidFill>
                <a:latin typeface="Arial Black" panose="020B0A04020102020204" pitchFamily="34" charset="0"/>
              </a:rPr>
              <a:t>Spend vs Revenue by Region</a:t>
            </a:r>
          </a:p>
        </c:rich>
      </c:tx>
      <c:overlay val="0"/>
      <c:spPr>
        <a:noFill/>
        <a:ln>
          <a:solidFill>
            <a:schemeClr val="accent1">
              <a:lumMod val="40000"/>
              <a:lumOff val="6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76527934008249"/>
          <c:y val="0.20002896189700425"/>
          <c:w val="0.81449662542182222"/>
          <c:h val="0.569750203638338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region KPIs'!$B$1</c:f>
              <c:strCache>
                <c:ptCount val="1"/>
                <c:pt idx="0">
                  <c:v> total_spend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'By region KPIs'!$A$2:$A$7</c:f>
              <c:strCache>
                <c:ptCount val="6"/>
                <c:pt idx="0">
                  <c:v>Africa</c:v>
                </c:pt>
                <c:pt idx="1">
                  <c:v>North America</c:v>
                </c:pt>
                <c:pt idx="2">
                  <c:v>South America</c:v>
                </c:pt>
                <c:pt idx="3">
                  <c:v>Europe</c:v>
                </c:pt>
                <c:pt idx="4">
                  <c:v>Asia</c:v>
                </c:pt>
                <c:pt idx="5">
                  <c:v>Oceania</c:v>
                </c:pt>
              </c:strCache>
            </c:strRef>
          </c:cat>
          <c:val>
            <c:numRef>
              <c:f>'By region KPIs'!$B$2:$B$7</c:f>
              <c:numCache>
                <c:formatCode>_-[$$-409]* #,##0.00_ ;_-[$$-409]* \-#,##0.00\ ;_-[$$-409]* "-"??_ ;_-@_ </c:formatCode>
                <c:ptCount val="6"/>
                <c:pt idx="0">
                  <c:v>5057866.3999999994</c:v>
                </c:pt>
                <c:pt idx="1">
                  <c:v>4469221.4999999991</c:v>
                </c:pt>
                <c:pt idx="2">
                  <c:v>3210216.7400000012</c:v>
                </c:pt>
                <c:pt idx="3">
                  <c:v>4290993.910000002</c:v>
                </c:pt>
                <c:pt idx="4">
                  <c:v>4544602.4100000011</c:v>
                </c:pt>
                <c:pt idx="5">
                  <c:v>4121513.28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3-424E-95D9-FC0B080C74B7}"/>
            </c:ext>
          </c:extLst>
        </c:ser>
        <c:ser>
          <c:idx val="1"/>
          <c:order val="1"/>
          <c:tx>
            <c:strRef>
              <c:f>'By region KPIs'!$C$1</c:f>
              <c:strCache>
                <c:ptCount val="1"/>
                <c:pt idx="0">
                  <c:v> total_revenue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'By region KPIs'!$A$2:$A$7</c:f>
              <c:strCache>
                <c:ptCount val="6"/>
                <c:pt idx="0">
                  <c:v>Africa</c:v>
                </c:pt>
                <c:pt idx="1">
                  <c:v>North America</c:v>
                </c:pt>
                <c:pt idx="2">
                  <c:v>South America</c:v>
                </c:pt>
                <c:pt idx="3">
                  <c:v>Europe</c:v>
                </c:pt>
                <c:pt idx="4">
                  <c:v>Asia</c:v>
                </c:pt>
                <c:pt idx="5">
                  <c:v>Oceania</c:v>
                </c:pt>
              </c:strCache>
            </c:strRef>
          </c:cat>
          <c:val>
            <c:numRef>
              <c:f>'By region KPIs'!$C$2:$C$7</c:f>
              <c:numCache>
                <c:formatCode>_-[$$-409]* #,##0.00_ ;_-[$$-409]* \-#,##0.00\ ;_-[$$-409]* "-"??_ ;_-@_ </c:formatCode>
                <c:ptCount val="6"/>
                <c:pt idx="0">
                  <c:v>8606148.7843999974</c:v>
                </c:pt>
                <c:pt idx="1">
                  <c:v>7511004.8972999947</c:v>
                </c:pt>
                <c:pt idx="2">
                  <c:v>5386555.7014999986</c:v>
                </c:pt>
                <c:pt idx="3">
                  <c:v>7025102.3178999973</c:v>
                </c:pt>
                <c:pt idx="4">
                  <c:v>7392217.3203000007</c:v>
                </c:pt>
                <c:pt idx="5">
                  <c:v>6619546.5034999968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3-424E-95D9-FC0B080C7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259360"/>
        <c:axId val="1307515952"/>
      </c:barChart>
      <c:catAx>
        <c:axId val="140325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515952"/>
        <c:crosses val="autoZero"/>
        <c:auto val="1"/>
        <c:lblAlgn val="ctr"/>
        <c:lblOffset val="100"/>
        <c:noMultiLvlLbl val="0"/>
      </c:catAx>
      <c:valAx>
        <c:axId val="130751595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25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0757335181795542"/>
          <c:y val="5.3726243123719132E-2"/>
          <c:w val="0.18540328607479775"/>
          <c:h val="0.2184937978643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Traditional v/s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'Traditional vs digital'!$D$1</c:f>
              <c:strCache>
                <c:ptCount val="1"/>
                <c:pt idx="0">
                  <c:v>roi</c:v>
                </c:pt>
              </c:strCache>
            </c:strRef>
          </c:tx>
          <c:spPr>
            <a:ln w="6350">
              <a:solidFill>
                <a:schemeClr val="accent1"/>
              </a:solidFill>
            </a:ln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63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4D7-4A35-985B-565D386507EE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63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D7-4A35-985B-565D386507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'Traditional vs digital'!$A$2:$A$3</c:f>
              <c:strCache>
                <c:ptCount val="2"/>
                <c:pt idx="0">
                  <c:v>Traditional</c:v>
                </c:pt>
                <c:pt idx="1">
                  <c:v>Digital</c:v>
                </c:pt>
              </c:strCache>
            </c:strRef>
          </c:cat>
          <c:val>
            <c:numRef>
              <c:f>'Traditional vs digital'!$D$2:$D$3</c:f>
              <c:numCache>
                <c:formatCode>0.00%</c:formatCode>
                <c:ptCount val="2"/>
                <c:pt idx="0">
                  <c:v>0.71787011971260706</c:v>
                </c:pt>
                <c:pt idx="1">
                  <c:v>0.62306077720659403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7-4A35-985B-565D38650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124296</xdr:colOff>
      <xdr:row>8</xdr:row>
      <xdr:rowOff>17835</xdr:rowOff>
    </xdr:from>
    <xdr:to>
      <xdr:col>23</xdr:col>
      <xdr:colOff>226924</xdr:colOff>
      <xdr:row>13</xdr:row>
      <xdr:rowOff>47289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F3C0E8-1E1C-EC3F-F876-41D703E04CA7}"/>
            </a:ext>
          </a:extLst>
        </xdr:cNvPr>
        <xdr:cNvSpPr txBox="1"/>
      </xdr:nvSpPr>
      <xdr:spPr>
        <a:xfrm>
          <a:off x="17397647" y="1476984"/>
          <a:ext cx="2027894" cy="9414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latin typeface="Cascadia Code Light" panose="020B0609020000020004" pitchFamily="49" charset="0"/>
              <a:cs typeface="Cascadia Code Light" panose="020B0609020000020004" pitchFamily="49" charset="0"/>
            </a:rPr>
            <a:t>Note:</a:t>
          </a:r>
        </a:p>
        <a:p>
          <a:r>
            <a:rPr lang="en-IN" sz="900">
              <a:latin typeface="Cascadia Code Light" panose="020B0609020000020004" pitchFamily="49" charset="0"/>
              <a:cs typeface="Cascadia Code Light" panose="020B0609020000020004" pitchFamily="49" charset="0"/>
            </a:rPr>
            <a:t>This number shows</a:t>
          </a:r>
          <a:r>
            <a:rPr lang="en-IN" sz="900" baseline="0">
              <a:latin typeface="Cascadia Code Light" panose="020B0609020000020004" pitchFamily="49" charset="0"/>
              <a:cs typeface="Cascadia Code Light" panose="020B0609020000020004" pitchFamily="49" charset="0"/>
            </a:rPr>
            <a:t> w</a:t>
          </a:r>
          <a:r>
            <a:rPr lang="en-IN" sz="900">
              <a:latin typeface="Cascadia Code Light" panose="020B0609020000020004" pitchFamily="49" charset="0"/>
              <a:cs typeface="Cascadia Code Light" panose="020B0609020000020004" pitchFamily="49" charset="0"/>
            </a:rPr>
            <a:t>eak correlation. Spend alone doesn't predict ROI, so efficiency matters more than budget size.</a:t>
          </a:r>
        </a:p>
      </xdr:txBody>
    </xdr:sp>
    <xdr:clientData/>
  </xdr:twoCellAnchor>
  <xdr:twoCellAnchor>
    <xdr:from>
      <xdr:col>18</xdr:col>
      <xdr:colOff>0</xdr:colOff>
      <xdr:row>0</xdr:row>
      <xdr:rowOff>182393</xdr:rowOff>
    </xdr:from>
    <xdr:to>
      <xdr:col>24</xdr:col>
      <xdr:colOff>54042</xdr:colOff>
      <xdr:row>6</xdr:row>
      <xdr:rowOff>168883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B6D35C-A62D-C751-7402-70A122CCB986}"/>
            </a:ext>
          </a:extLst>
        </xdr:cNvPr>
        <xdr:cNvSpPr txBox="1"/>
      </xdr:nvSpPr>
      <xdr:spPr>
        <a:xfrm>
          <a:off x="13834894" y="182393"/>
          <a:ext cx="6025744" cy="108085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 i="0">
              <a:latin typeface="Cascadia Code Light" panose="020B0609020000020004" pitchFamily="49" charset="0"/>
              <a:cs typeface="Cascadia Code Light" panose="020B0609020000020004" pitchFamily="49" charset="0"/>
            </a:rPr>
            <a:t>Note: </a:t>
          </a:r>
        </a:p>
        <a:p>
          <a:r>
            <a:rPr lang="en-IN" sz="900" b="0" i="0">
              <a:solidFill>
                <a:schemeClr val="dk1"/>
              </a:solidFill>
              <a:effectLst/>
              <a:latin typeface="Cascadia Mono Light" panose="020B0609020000020004" pitchFamily="49" charset="0"/>
              <a:ea typeface="+mn-ea"/>
              <a:cs typeface="Cascadia Mono Light" panose="020B0609020000020004" pitchFamily="49" charset="0"/>
            </a:rPr>
            <a:t>51 rows have conversions exceeding clicks, and 1 row has clicks exceeding impressions,</a:t>
          </a:r>
          <a:r>
            <a:rPr lang="en-IN" sz="900" b="0" i="0" baseline="0">
              <a:solidFill>
                <a:schemeClr val="dk1"/>
              </a:solidFill>
              <a:effectLst/>
              <a:latin typeface="Cascadia Mono Light" panose="020B0609020000020004" pitchFamily="49" charset="0"/>
              <a:ea typeface="+mn-ea"/>
              <a:cs typeface="Cascadia Mono Light" panose="020B0609020000020004" pitchFamily="49" charset="0"/>
            </a:rPr>
            <a:t> which is</a:t>
          </a:r>
          <a:r>
            <a:rPr lang="en-IN" sz="900" b="0" i="0">
              <a:solidFill>
                <a:schemeClr val="dk1"/>
              </a:solidFill>
              <a:effectLst/>
              <a:latin typeface="Cascadia Mono Light" panose="020B0609020000020004" pitchFamily="49" charset="0"/>
              <a:ea typeface="+mn-ea"/>
              <a:cs typeface="Cascadia Mono Light" panose="020B0609020000020004" pitchFamily="49" charset="0"/>
            </a:rPr>
            <a:t> logically impossible.</a:t>
          </a:r>
          <a:r>
            <a:rPr lang="en-IN" sz="900" b="0" i="0" baseline="0">
              <a:solidFill>
                <a:schemeClr val="dk1"/>
              </a:solidFill>
              <a:effectLst/>
              <a:latin typeface="Cascadia Mono Light" panose="020B0609020000020004" pitchFamily="49" charset="0"/>
              <a:ea typeface="+mn-ea"/>
              <a:cs typeface="Cascadia Mono Light" panose="020B0609020000020004" pitchFamily="49" charset="0"/>
            </a:rPr>
            <a:t> This is </a:t>
          </a:r>
          <a:r>
            <a:rPr lang="en-IN" sz="900">
              <a:latin typeface="Cascadia Mono Light" panose="020B0609020000020004" pitchFamily="49" charset="0"/>
              <a:cs typeface="Cascadia Mono Light" panose="020B0609020000020004" pitchFamily="49" charset="0"/>
            </a:rPr>
            <a:t>most likely because of multi-touch attribution or tracking-pixel lag rather than bad spend/revenue capture. These rows are intentionally retained in all calculations, since spend and revenue are unaffected by the flag. CTR and conversion rate for the 8 affected campaign types should be read as directionally accurate, not precise, until the tracking source is investigated.</a:t>
          </a:r>
          <a:endParaRPr lang="en-IN" sz="900" i="0">
            <a:latin typeface="Cascadia Mono Light" panose="020B0609020000020004" pitchFamily="49" charset="0"/>
            <a:cs typeface="Cascadia Mono Light" panose="020B0609020000020004" pitchFamily="49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146050</xdr:rowOff>
    </xdr:from>
    <xdr:to>
      <xdr:col>8</xdr:col>
      <xdr:colOff>533400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C6962B-4EF6-2918-A687-24E6A001CC40}"/>
            </a:ext>
          </a:extLst>
        </xdr:cNvPr>
        <xdr:cNvSpPr txBox="1"/>
      </xdr:nvSpPr>
      <xdr:spPr>
        <a:xfrm>
          <a:off x="4679950" y="146050"/>
          <a:ext cx="2971800" cy="13335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chemeClr val="dk1"/>
              </a:solidFill>
              <a:effectLst/>
              <a:latin typeface="Cascadia Code Light" panose="020B0609020000020004" pitchFamily="49" charset="0"/>
              <a:ea typeface="+mn-ea"/>
              <a:cs typeface="Cascadia Code Light" panose="020B0609020000020004" pitchFamily="49" charset="0"/>
            </a:rPr>
            <a:t>Note:</a:t>
          </a:r>
          <a:endParaRPr lang="en-IN" sz="900">
            <a:effectLst/>
            <a:latin typeface="Cascadia Code Light" panose="020B0609020000020004" pitchFamily="49" charset="0"/>
            <a:cs typeface="Cascadia Code Light" panose="020B0609020000020004" pitchFamily="49" charset="0"/>
          </a:endParaRPr>
        </a:p>
        <a:p>
          <a:r>
            <a:rPr lang="en-IN" sz="900">
              <a:solidFill>
                <a:schemeClr val="dk1"/>
              </a:solidFill>
              <a:effectLst/>
              <a:latin typeface="Cascadia Code Light" panose="020B0609020000020004" pitchFamily="49" charset="0"/>
              <a:ea typeface="+mn-ea"/>
              <a:cs typeface="Cascadia Code Light" panose="020B0609020000020004" pitchFamily="49" charset="0"/>
            </a:rPr>
            <a:t>This t-test compares the average ROI per campaign, where every campaign counts equally regardless of budget size. The KPI tables use a spend-weighted ROI instead,</a:t>
          </a:r>
          <a:r>
            <a:rPr lang="en-IN" sz="900" baseline="0">
              <a:solidFill>
                <a:schemeClr val="dk1"/>
              </a:solidFill>
              <a:effectLst/>
              <a:latin typeface="Cascadia Code Light" panose="020B0609020000020004" pitchFamily="49" charset="0"/>
              <a:ea typeface="+mn-ea"/>
              <a:cs typeface="Cascadia Code Light" panose="020B0609020000020004" pitchFamily="49" charset="0"/>
            </a:rPr>
            <a:t> which is</a:t>
          </a:r>
          <a:r>
            <a:rPr lang="en-IN" sz="900">
              <a:solidFill>
                <a:schemeClr val="dk1"/>
              </a:solidFill>
              <a:effectLst/>
              <a:latin typeface="Cascadia Code Light" panose="020B0609020000020004" pitchFamily="49" charset="0"/>
              <a:ea typeface="+mn-ea"/>
              <a:cs typeface="Cascadia Code Light" panose="020B0609020000020004" pitchFamily="49" charset="0"/>
            </a:rPr>
            <a:t> calculated from total revenue and total spend combined across all campaigns, reflecting the actual return on the overall marketing budget.</a:t>
          </a:r>
          <a:endParaRPr lang="en-IN" sz="900">
            <a:effectLst/>
            <a:latin typeface="Cascadia Code Light" panose="020B0609020000020004" pitchFamily="49" charset="0"/>
            <a:cs typeface="Cascadia Code Light" panose="020B0609020000020004" pitchFamily="49" charset="0"/>
          </a:endParaRPr>
        </a:p>
        <a:p>
          <a:endParaRPr lang="en-IN" sz="1100"/>
        </a:p>
      </xdr:txBody>
    </xdr:sp>
    <xdr:clientData/>
  </xdr:twoCellAnchor>
  <xdr:twoCellAnchor>
    <xdr:from>
      <xdr:col>2</xdr:col>
      <xdr:colOff>184150</xdr:colOff>
      <xdr:row>11</xdr:row>
      <xdr:rowOff>12700</xdr:rowOff>
    </xdr:from>
    <xdr:to>
      <xdr:col>7</xdr:col>
      <xdr:colOff>558800</xdr:colOff>
      <xdr:row>15</xdr:row>
      <xdr:rowOff>44450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B5B0D4-4358-091C-7261-A0AACA8CCB42}"/>
            </a:ext>
          </a:extLst>
        </xdr:cNvPr>
        <xdr:cNvSpPr txBox="1"/>
      </xdr:nvSpPr>
      <xdr:spPr>
        <a:xfrm>
          <a:off x="3105150" y="2044700"/>
          <a:ext cx="3962400" cy="7747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latin typeface="Cascadia Code Light" panose="020B0609020000020004" pitchFamily="49" charset="0"/>
              <a:cs typeface="Cascadia Code Light" panose="020B0609020000020004" pitchFamily="49" charset="0"/>
            </a:rPr>
            <a:t>Note:</a:t>
          </a:r>
        </a:p>
        <a:p>
          <a:r>
            <a:rPr lang="en-IN" sz="900">
              <a:latin typeface="Cascadia Code Light" panose="020B0609020000020004" pitchFamily="49" charset="0"/>
              <a:cs typeface="Cascadia Code Light" panose="020B0609020000020004" pitchFamily="49" charset="0"/>
            </a:rPr>
            <a:t>Traditional campaigns had a higher average ROI than Digital campaigns. The difference is likely to be a real difference in this dataset, rather than just random variation.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252768</xdr:colOff>
      <xdr:row>24</xdr:row>
      <xdr:rowOff>153880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80380-4D97-2C25-E1E7-ED4D38409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8</xdr:row>
      <xdr:rowOff>0</xdr:rowOff>
    </xdr:from>
    <xdr:to>
      <xdr:col>6</xdr:col>
      <xdr:colOff>57150</xdr:colOff>
      <xdr:row>20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E503D4-9DBF-4609-F107-63DBE5A50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</xdr:row>
      <xdr:rowOff>0</xdr:rowOff>
    </xdr:from>
    <xdr:to>
      <xdr:col>3</xdr:col>
      <xdr:colOff>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322BE6-D863-F18B-7886-1B4B3E786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273050</xdr:colOff>
      <xdr:row>1</xdr:row>
      <xdr:rowOff>0</xdr:rowOff>
    </xdr:from>
    <xdr:to>
      <xdr:col>13</xdr:col>
      <xdr:colOff>0</xdr:colOff>
      <xdr:row>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8B8404-A0BD-49F0-B983-6992D9E0A9CD}"/>
            </a:ext>
          </a:extLst>
        </xdr:cNvPr>
        <xdr:cNvSpPr txBox="1"/>
      </xdr:nvSpPr>
      <xdr:spPr>
        <a:xfrm>
          <a:off x="6680200" y="184150"/>
          <a:ext cx="3384550" cy="8128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latin typeface="Cascadia Code Light" panose="020B0609020000020004" pitchFamily="49" charset="0"/>
              <a:cs typeface="Cascadia Code Light" panose="020B0609020000020004" pitchFamily="49" charset="0"/>
            </a:rPr>
            <a:t>Note:</a:t>
          </a:r>
        </a:p>
        <a:p>
          <a:r>
            <a:rPr lang="en-IN" sz="900">
              <a:latin typeface="Cascadia Code Light" panose="020B0609020000020004" pitchFamily="49" charset="0"/>
              <a:cs typeface="Cascadia Code Light" panose="020B0609020000020004" pitchFamily="49" charset="0"/>
            </a:rPr>
            <a:t>SQL and Excel may show the campaigns in a different order</a:t>
          </a:r>
          <a:r>
            <a:rPr lang="en-IN" sz="900" baseline="0">
              <a:latin typeface="Cascadia Code Light" panose="020B0609020000020004" pitchFamily="49" charset="0"/>
              <a:cs typeface="Cascadia Code Light" panose="020B0609020000020004" pitchFamily="49" charset="0"/>
            </a:rPr>
            <a:t> since SQL picked up the data for the lowest Campaign ID: Influencer Marketing (ID 433), TV Commercial (ID 11).</a:t>
          </a:r>
          <a:endParaRPr lang="en-IN" sz="900">
            <a:latin typeface="Cascadia Code Light" panose="020B0609020000020004" pitchFamily="49" charset="0"/>
            <a:cs typeface="Cascadia Code Light" panose="020B0609020000020004" pitchFamily="49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368300</xdr:colOff>
      <xdr:row>1</xdr:row>
      <xdr:rowOff>12700</xdr:rowOff>
    </xdr:from>
    <xdr:to>
      <xdr:col>13</xdr:col>
      <xdr:colOff>38100</xdr:colOff>
      <xdr:row>5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5C20B2-844F-B22D-13AC-F1D46D8404DB}"/>
            </a:ext>
          </a:extLst>
        </xdr:cNvPr>
        <xdr:cNvSpPr txBox="1"/>
      </xdr:nvSpPr>
      <xdr:spPr>
        <a:xfrm>
          <a:off x="6280150" y="196850"/>
          <a:ext cx="3327400" cy="7810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chemeClr val="dk1"/>
              </a:solidFill>
              <a:effectLst/>
              <a:latin typeface="Cascadia Code Light" panose="020B0609020000020004" pitchFamily="49" charset="0"/>
              <a:ea typeface="+mn-ea"/>
              <a:cs typeface="Cascadia Code Light" panose="020B0609020000020004" pitchFamily="49" charset="0"/>
            </a:rPr>
            <a:t>Note:</a:t>
          </a:r>
          <a:endParaRPr lang="en-IN" sz="900">
            <a:effectLst/>
            <a:latin typeface="Cascadia Code Light" panose="020B0609020000020004" pitchFamily="49" charset="0"/>
            <a:cs typeface="Cascadia Code Light" panose="020B0609020000020004" pitchFamily="49" charset="0"/>
          </a:endParaRPr>
        </a:p>
        <a:p>
          <a:r>
            <a:rPr lang="en-IN" sz="900">
              <a:solidFill>
                <a:schemeClr val="dk1"/>
              </a:solidFill>
              <a:effectLst/>
              <a:latin typeface="Cascadia Code Light" panose="020B0609020000020004" pitchFamily="49" charset="0"/>
              <a:ea typeface="+mn-ea"/>
              <a:cs typeface="Cascadia Code Light" panose="020B0609020000020004" pitchFamily="49" charset="0"/>
            </a:rPr>
            <a:t>SQL and Excel may show the campaigns in a different order</a:t>
          </a:r>
          <a:r>
            <a:rPr lang="en-IN" sz="900" baseline="0">
              <a:solidFill>
                <a:schemeClr val="dk1"/>
              </a:solidFill>
              <a:effectLst/>
              <a:latin typeface="Cascadia Code Light" panose="020B0609020000020004" pitchFamily="49" charset="0"/>
              <a:ea typeface="+mn-ea"/>
              <a:cs typeface="Cascadia Code Light" panose="020B0609020000020004" pitchFamily="49" charset="0"/>
            </a:rPr>
            <a:t> since SQL picked up the data for the lowest Campaign ID: Content Marketing (ID 799), Search Engine Ads (ID 244).</a:t>
          </a:r>
          <a:endParaRPr lang="en-IN" sz="900">
            <a:effectLst/>
            <a:latin typeface="Cascadia Code Light" panose="020B0609020000020004" pitchFamily="49" charset="0"/>
            <a:cs typeface="Cascadia Code Light" panose="020B0609020000020004" pitchFamily="49" charset="0"/>
          </a:endParaRPr>
        </a:p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0244A1-941F-4CC7-A803-7E05311C35FC}" name="Table7" displayName="Table7" ref="A1:N1001" totalsRowShown="0" headerRowDxfId="35" dataDxfId="34" tableBorderDxfId="33">
  <autoFilter ref="A1:N1001" xr:uid="{720244A1-941F-4CC7-A803-7E05311C35FC}"/>
  <sortState xmlns:xlrd2="http://schemas.microsoft.com/office/spreadsheetml/2017/richdata2" ref="A2:N1001">
    <sortCondition ref="K1:K1001"/>
  </sortState>
  <tableColumns count="14">
    <tableColumn id="1" xr3:uid="{676606A1-360A-4C13-A5F1-29A876DEE9D3}" name="CampaignID" dataDxfId="32"/>
    <tableColumn id="2" xr3:uid="{290527D7-9C47-4B08-BB7B-4A5D06F0EF90}" name="CampaignName" dataDxfId="31"/>
    <tableColumn id="3" xr3:uid="{CBCE6F2F-C16A-41EE-827E-52CE8A0A8490}" name="Type" dataDxfId="30"/>
    <tableColumn id="4" xr3:uid="{752D2947-DEFF-45C1-93CD-7E02EF2CEE36}" name="Region" dataDxfId="29"/>
    <tableColumn id="5" xr3:uid="{F41BC7AF-2E01-4741-B45F-FAB46276ACD3}" name="Industry" dataDxfId="28"/>
    <tableColumn id="6" xr3:uid="{AA00D54E-6681-4925-8B45-7E2A76A4B9D5}" name="Spend" dataDxfId="27"/>
    <tableColumn id="7" xr3:uid="{EEB79169-E9D2-423B-BDBF-68C3BAC4AD57}" name="Impressions" dataDxfId="26"/>
    <tableColumn id="8" xr3:uid="{132CAA81-891C-4222-85BF-0DCC1870D732}" name="Clicks" dataDxfId="25"/>
    <tableColumn id="9" xr3:uid="{4D36B51F-3FCE-400D-9197-1AB6871FAC0F}" name="Conversions" dataDxfId="24"/>
    <tableColumn id="10" xr3:uid="{42A1B24A-2C94-4D7C-86DB-478AEB94ECC0}" name="Revenue" dataDxfId="23"/>
    <tableColumn id="11" xr3:uid="{57B207AE-CFCD-4936-BADE-E96425D87161}" name="ROI" dataDxfId="22">
      <calculatedColumnFormula>(J2-F2)/F2</calculatedColumnFormula>
    </tableColumn>
    <tableColumn id="12" xr3:uid="{F6740EA8-E90D-4E96-9465-8E3FD0794D98}" name="Digital ROI" dataDxfId="21">
      <calculatedColumnFormula>IF(C2="Digital",K2,"")</calculatedColumnFormula>
    </tableColumn>
    <tableColumn id="13" xr3:uid="{C97FCFFE-968A-498C-87E1-5624E0C4CB39}" name="Traditional ROI" dataDxfId="20">
      <calculatedColumnFormula>IF(C2="Traditional",K2,"")</calculatedColumnFormula>
    </tableColumn>
    <tableColumn id="14" xr3:uid="{65542C3B-5945-4972-86F2-215E387A9F2A}" name="Data Quality Check" dataDxfId="19">
      <calculatedColumnFormula>IF(H2&gt;G2,"ERROR: Clicks &gt; Impressions",IF(I2&gt;H2,"ERROR: Conversions &gt; Clicks","OK"))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B29772-9340-40AF-A7DF-BE3B65E7F4A8}" name="Table4" displayName="Table4" ref="K1:L9" totalsRowShown="0" headerRowDxfId="18">
  <autoFilter ref="K1:L9" xr:uid="{4DB29772-9340-40AF-A7DF-BE3B65E7F4A8}"/>
  <tableColumns count="2">
    <tableColumn id="1" xr3:uid="{21C2F265-1F9A-40AB-B982-DCD8E9F25D94}" name="cpc" dataDxfId="17">
      <calculatedColumnFormula>B2/E2</calculatedColumnFormula>
    </tableColumn>
    <tableColumn id="2" xr3:uid="{037679CC-A9C8-456F-888C-BB70D63CAEA7}" name="cpa" dataDxfId="16">
      <calculatedColumnFormula>B2/F2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B02D70-E703-41D6-AB55-99924321D9AD}" name="Table5" displayName="Table5" ref="A1:G7" totalsRowShown="0" tableBorderDxfId="15">
  <autoFilter ref="A1:G7" xr:uid="{0EB02D70-E703-41D6-AB55-99924321D9AD}"/>
  <tableColumns count="7">
    <tableColumn id="1" xr3:uid="{76355585-1FAB-4DDE-A21D-43FBFAB4F9E9}" name="region" dataDxfId="14"/>
    <tableColumn id="2" xr3:uid="{C260ED52-C500-4884-91AB-6194A4BD927B}" name="total_spend" dataDxfId="13">
      <calculatedColumnFormula>SUMIFS('Row Level Master Sheet'!F:F,'Row Level Master Sheet'!D:D,'By region KPIs'!A2)</calculatedColumnFormula>
    </tableColumn>
    <tableColumn id="3" xr3:uid="{E651BFC2-39FE-41E0-9AAC-51BA36E80282}" name="total_revenue" dataDxfId="12">
      <calculatedColumnFormula>SUMIFS('Row Level Master Sheet'!J:J,'Row Level Master Sheet'!D:D,'By region KPIs'!A2)</calculatedColumnFormula>
    </tableColumn>
    <tableColumn id="4" xr3:uid="{C1FB0F8A-8EDD-4066-874F-B15551CED83C}" name="roi" dataDxfId="11">
      <calculatedColumnFormula>(C2-B2)/B2</calculatedColumnFormula>
    </tableColumn>
    <tableColumn id="5" xr3:uid="{252F8095-E883-4141-A488-60E71BE325B7}" name="roas" dataDxfId="10">
      <calculatedColumnFormula>C2/B2</calculatedColumnFormula>
    </tableColumn>
    <tableColumn id="6" xr3:uid="{B9096AAC-7164-4849-96CA-972671CBA3D5}" name="ctr" dataDxfId="9">
      <calculatedColumnFormula>IFERROR(
SUMIFS('Row Level Master Sheet'!H:H,'Row Level Master Sheet'!D:D,A2)/
SUMIFS('Row Level Master Sheet'!G:G,'Row Level Master Sheet'!D:D,A2),
"")</calculatedColumnFormula>
    </tableColumn>
    <tableColumn id="7" xr3:uid="{BCA01EE2-6E33-4A7E-9B08-F67F520F686C}" name="conversion_rate" dataDxfId="8">
      <calculatedColumnFormula>IFERROR(
SUMIFS('Row Level Master Sheet'!I:I,'Row Level Master Sheet'!D:D,A2)/
SUMIFS('Row Level Master Sheet'!H:H,'Row Level Master Sheet'!D:D,A2),
"")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344E07-746F-469E-B870-206A5158D7CE}" name="Table6" displayName="Table6" ref="A1:G7" totalsRowShown="0" tableBorderDxfId="7">
  <autoFilter ref="A1:G7" xr:uid="{82344E07-746F-469E-B870-206A5158D7CE}"/>
  <tableColumns count="7">
    <tableColumn id="1" xr3:uid="{FC2E5C26-EA93-4805-8C50-67C7BB866CA4}" name="industry" dataDxfId="6"/>
    <tableColumn id="2" xr3:uid="{911A0968-2170-4152-A436-B80DF78DB824}" name="total_spend" dataDxfId="5">
      <calculatedColumnFormula>SUMIFS('Row Level Master Sheet'!F:F,'Row Level Master Sheet'!E:E,A2)</calculatedColumnFormula>
    </tableColumn>
    <tableColumn id="3" xr3:uid="{EA5C61C4-0D21-462A-B186-80F32ECC54BE}" name="total_revenue" dataDxfId="4">
      <calculatedColumnFormula>SUMIFS('Row Level Master Sheet'!J:J,'Row Level Master Sheet'!E:E,A2)</calculatedColumnFormula>
    </tableColumn>
    <tableColumn id="4" xr3:uid="{7308DCCA-7363-45B9-A63F-6E8F0D2165E6}" name="roi" dataDxfId="3">
      <calculatedColumnFormula>(C2-B2)/B2</calculatedColumnFormula>
    </tableColumn>
    <tableColumn id="5" xr3:uid="{AFBC14FA-0684-440E-8367-8662B3E57E34}" name="roas" dataDxfId="2">
      <calculatedColumnFormula>C2/B2</calculatedColumnFormula>
    </tableColumn>
    <tableColumn id="6" xr3:uid="{59BD9EAA-198F-405B-9A37-2B193F7A6C4E}" name="ctr" dataDxfId="1">
      <calculatedColumnFormula>SUMIFS('Row Level Master Sheet'!H:H,'Row Level Master Sheet'!E:E,A2)/
SUMIFS('Row Level Master Sheet'!G:G,'Row Level Master Sheet'!E:E,A2)</calculatedColumnFormula>
    </tableColumn>
    <tableColumn id="7" xr3:uid="{1CB0C6FC-C95F-46F1-98C6-BC66864C07F0}" name="conversion_rate" dataDxfId="0">
      <calculatedColumnFormula>SUMIFS('Row Level Master Sheet'!I:I,'Row Level Master Sheet'!E:E,A2)/
SUMIFS('Row Level Master Sheet'!H:H,'Row Level Master Sheet'!E:E,A2)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79A7-8D74-4A4F-B550-ED2EB9788766}">
  <dimension ref="A1:T1001"/>
  <sheetViews>
    <sheetView topLeftCell="K1" zoomScale="94" zoomScaleNormal="100" workbookViewId="0">
      <pane ySplit="1" topLeftCell="A3" activePane="bottomLeft" state="frozen"/>
      <selection pane="bottomLeft" activeCell="U22" sqref="U22"/>
    </sheetView>
  </sheetViews>
  <sheetFormatPr defaultRowHeight="14.5" x14ac:dyDescent="0.35"/>
  <cols>
    <col min="1" max="1" width="12.81640625" style="61" customWidth="1"/>
    <col min="2" max="2" width="18.36328125" style="61" bestFit="1" customWidth="1"/>
    <col min="3" max="3" width="10.54296875" style="61" bestFit="1" customWidth="1"/>
    <col min="4" max="4" width="13" style="61" bestFit="1" customWidth="1"/>
    <col min="5" max="5" width="10.54296875" style="61" bestFit="1" customWidth="1"/>
    <col min="6" max="6" width="11.453125" style="62" customWidth="1"/>
    <col min="7" max="7" width="13.26953125" style="61" customWidth="1"/>
    <col min="8" max="8" width="10.54296875" style="61" bestFit="1" customWidth="1"/>
    <col min="9" max="9" width="12.81640625" style="61" customWidth="1"/>
    <col min="10" max="10" width="14.453125" style="62" customWidth="1"/>
    <col min="11" max="11" width="10.6328125" style="56" customWidth="1"/>
    <col min="12" max="12" width="15.08984375" style="56" customWidth="1"/>
    <col min="13" max="13" width="15.26953125" style="56" customWidth="1"/>
    <col min="14" max="14" width="24" style="56" customWidth="1"/>
    <col min="15" max="15" width="1.453125" customWidth="1"/>
    <col min="16" max="16" width="0.7265625" style="28" customWidth="1"/>
    <col min="17" max="17" width="0.7265625" customWidth="1"/>
    <col min="18" max="18" width="1.26953125" customWidth="1"/>
    <col min="19" max="19" width="24.1796875" customWidth="1"/>
    <col min="20" max="20" width="25.08984375" customWidth="1"/>
    <col min="21" max="21" width="10.1796875" customWidth="1"/>
  </cols>
  <sheetData>
    <row r="1" spans="1:20" x14ac:dyDescent="0.35">
      <c r="A1" s="48" t="s">
        <v>36</v>
      </c>
      <c r="B1" s="48" t="s">
        <v>0</v>
      </c>
      <c r="C1" s="48" t="s">
        <v>37</v>
      </c>
      <c r="D1" s="48" t="s">
        <v>38</v>
      </c>
      <c r="E1" s="48" t="s">
        <v>39</v>
      </c>
      <c r="F1" s="49" t="s">
        <v>40</v>
      </c>
      <c r="G1" s="48" t="s">
        <v>41</v>
      </c>
      <c r="H1" s="48" t="s">
        <v>42</v>
      </c>
      <c r="I1" s="48" t="s">
        <v>43</v>
      </c>
      <c r="J1" s="49" t="s">
        <v>44</v>
      </c>
      <c r="K1" s="50" t="s">
        <v>45</v>
      </c>
      <c r="L1" s="50" t="s">
        <v>58</v>
      </c>
      <c r="M1" s="51" t="s">
        <v>59</v>
      </c>
      <c r="N1" s="52" t="s">
        <v>66</v>
      </c>
      <c r="O1" s="13"/>
      <c r="P1" s="26"/>
      <c r="Q1" s="13"/>
      <c r="R1" s="13"/>
    </row>
    <row r="2" spans="1:20" x14ac:dyDescent="0.35">
      <c r="A2" s="53">
        <v>753</v>
      </c>
      <c r="B2" s="53" t="s">
        <v>14</v>
      </c>
      <c r="C2" s="53" t="s">
        <v>32</v>
      </c>
      <c r="D2" s="53" t="s">
        <v>22</v>
      </c>
      <c r="E2" s="53" t="s">
        <v>28</v>
      </c>
      <c r="F2" s="54">
        <v>8114.63</v>
      </c>
      <c r="G2" s="53">
        <v>890214</v>
      </c>
      <c r="H2" s="53">
        <v>10438</v>
      </c>
      <c r="I2" s="53">
        <v>163</v>
      </c>
      <c r="J2" s="54">
        <v>6491.7039999999997</v>
      </c>
      <c r="K2" s="55">
        <f t="shared" ref="K2:K65" si="0">(J2-F2)/F2</f>
        <v>-0.20000000000000004</v>
      </c>
      <c r="L2" s="56">
        <f t="shared" ref="L2:L65" si="1">IF(C2="Digital",K2,"")</f>
        <v>-0.20000000000000004</v>
      </c>
      <c r="M2" s="56" t="str">
        <f t="shared" ref="M2:M65" si="2">IF(C2="Traditional",K2,"")</f>
        <v/>
      </c>
      <c r="N2" s="56" t="str">
        <f t="shared" ref="N2:N65" si="3">IF(H2&gt;G2,"ERROR: Clicks &gt; Impressions",IF(I2&gt;H2,"ERROR: Conversions &gt; Clicks","OK"))</f>
        <v>OK</v>
      </c>
      <c r="O2" s="2"/>
      <c r="P2" s="27"/>
      <c r="Q2" s="2"/>
      <c r="R2" s="2"/>
    </row>
    <row r="3" spans="1:20" x14ac:dyDescent="0.35">
      <c r="A3" s="57">
        <v>818</v>
      </c>
      <c r="B3" s="57" t="s">
        <v>9</v>
      </c>
      <c r="C3" s="57" t="s">
        <v>31</v>
      </c>
      <c r="D3" s="57" t="s">
        <v>19</v>
      </c>
      <c r="E3" s="57" t="s">
        <v>25</v>
      </c>
      <c r="F3" s="58">
        <v>3072.3</v>
      </c>
      <c r="G3" s="57">
        <v>721413</v>
      </c>
      <c r="H3" s="57">
        <v>3065</v>
      </c>
      <c r="I3" s="57">
        <v>744</v>
      </c>
      <c r="J3" s="58">
        <v>2457.84</v>
      </c>
      <c r="K3" s="55">
        <f t="shared" si="0"/>
        <v>-0.2</v>
      </c>
      <c r="L3" s="56" t="str">
        <f t="shared" si="1"/>
        <v/>
      </c>
      <c r="M3" s="56">
        <f t="shared" si="2"/>
        <v>-0.2</v>
      </c>
      <c r="N3" s="56" t="str">
        <f t="shared" si="3"/>
        <v>OK</v>
      </c>
      <c r="O3" s="2"/>
      <c r="P3" s="27"/>
      <c r="Q3" s="2"/>
      <c r="R3" s="2"/>
    </row>
    <row r="4" spans="1:20" x14ac:dyDescent="0.35">
      <c r="A4" s="57">
        <v>44</v>
      </c>
      <c r="B4" s="57" t="s">
        <v>13</v>
      </c>
      <c r="C4" s="57" t="s">
        <v>32</v>
      </c>
      <c r="D4" s="57" t="s">
        <v>18</v>
      </c>
      <c r="E4" s="57" t="s">
        <v>26</v>
      </c>
      <c r="F4" s="58">
        <v>13663.15</v>
      </c>
      <c r="G4" s="57">
        <v>422918</v>
      </c>
      <c r="H4" s="57">
        <v>10106</v>
      </c>
      <c r="I4" s="57">
        <v>1359</v>
      </c>
      <c r="J4" s="58">
        <v>10930.52</v>
      </c>
      <c r="K4" s="55">
        <f t="shared" si="0"/>
        <v>-0.19999999999999996</v>
      </c>
      <c r="L4" s="56">
        <f t="shared" si="1"/>
        <v>-0.19999999999999996</v>
      </c>
      <c r="M4" s="56" t="str">
        <f t="shared" si="2"/>
        <v/>
      </c>
      <c r="N4" s="56" t="str">
        <f t="shared" si="3"/>
        <v>OK</v>
      </c>
      <c r="O4" s="2"/>
      <c r="P4" s="27"/>
      <c r="Q4" s="2"/>
      <c r="R4" s="2"/>
    </row>
    <row r="5" spans="1:20" x14ac:dyDescent="0.35">
      <c r="A5" s="57">
        <v>604</v>
      </c>
      <c r="B5" s="57" t="s">
        <v>10</v>
      </c>
      <c r="C5" s="57" t="s">
        <v>31</v>
      </c>
      <c r="D5" s="57" t="s">
        <v>17</v>
      </c>
      <c r="E5" s="57" t="s">
        <v>25</v>
      </c>
      <c r="F5" s="58">
        <v>48895.15</v>
      </c>
      <c r="G5" s="57">
        <v>408499</v>
      </c>
      <c r="H5" s="57">
        <v>10068</v>
      </c>
      <c r="I5" s="57">
        <v>73</v>
      </c>
      <c r="J5" s="58">
        <v>39605.071499999998</v>
      </c>
      <c r="K5" s="55">
        <f t="shared" si="0"/>
        <v>-0.19000000000000006</v>
      </c>
      <c r="L5" s="56" t="str">
        <f t="shared" si="1"/>
        <v/>
      </c>
      <c r="M5" s="56">
        <f t="shared" si="2"/>
        <v>-0.19000000000000006</v>
      </c>
      <c r="N5" s="56" t="str">
        <f t="shared" si="3"/>
        <v>OK</v>
      </c>
      <c r="O5" s="2"/>
      <c r="P5" s="27"/>
      <c r="Q5" s="2"/>
      <c r="R5" s="2"/>
    </row>
    <row r="6" spans="1:20" x14ac:dyDescent="0.35">
      <c r="A6" s="53">
        <v>779</v>
      </c>
      <c r="B6" s="53" t="s">
        <v>13</v>
      </c>
      <c r="C6" s="53" t="s">
        <v>32</v>
      </c>
      <c r="D6" s="53" t="s">
        <v>19</v>
      </c>
      <c r="E6" s="53" t="s">
        <v>24</v>
      </c>
      <c r="F6" s="54">
        <v>23695.46</v>
      </c>
      <c r="G6" s="53">
        <v>361181</v>
      </c>
      <c r="H6" s="53">
        <v>5977</v>
      </c>
      <c r="I6" s="53">
        <v>76</v>
      </c>
      <c r="J6" s="54">
        <v>19193.3226</v>
      </c>
      <c r="K6" s="55">
        <f t="shared" si="0"/>
        <v>-0.19</v>
      </c>
      <c r="L6" s="56">
        <f t="shared" si="1"/>
        <v>-0.19</v>
      </c>
      <c r="M6" s="56" t="str">
        <f t="shared" si="2"/>
        <v/>
      </c>
      <c r="N6" s="56" t="str">
        <f t="shared" si="3"/>
        <v>OK</v>
      </c>
      <c r="O6" s="2"/>
      <c r="P6" s="27"/>
      <c r="Q6" s="2"/>
      <c r="R6" s="2"/>
    </row>
    <row r="7" spans="1:20" x14ac:dyDescent="0.35">
      <c r="A7" s="57">
        <v>244</v>
      </c>
      <c r="B7" s="57" t="s">
        <v>11</v>
      </c>
      <c r="C7" s="57" t="s">
        <v>32</v>
      </c>
      <c r="D7" s="57" t="s">
        <v>20</v>
      </c>
      <c r="E7" s="57" t="s">
        <v>27</v>
      </c>
      <c r="F7" s="58">
        <v>33545.21</v>
      </c>
      <c r="G7" s="57">
        <v>823560</v>
      </c>
      <c r="H7" s="57">
        <v>5557</v>
      </c>
      <c r="I7" s="57">
        <v>466</v>
      </c>
      <c r="J7" s="58">
        <v>27171.6201</v>
      </c>
      <c r="K7" s="55">
        <f t="shared" si="0"/>
        <v>-0.18999999999999997</v>
      </c>
      <c r="L7" s="56">
        <f t="shared" si="1"/>
        <v>-0.18999999999999997</v>
      </c>
      <c r="M7" s="56" t="str">
        <f t="shared" si="2"/>
        <v/>
      </c>
      <c r="N7" s="56" t="str">
        <f t="shared" si="3"/>
        <v>OK</v>
      </c>
      <c r="O7" s="2"/>
      <c r="P7" s="27"/>
      <c r="Q7" s="2"/>
      <c r="R7" s="2"/>
    </row>
    <row r="8" spans="1:20" x14ac:dyDescent="0.35">
      <c r="A8" s="57">
        <v>498</v>
      </c>
      <c r="B8" s="57" t="s">
        <v>12</v>
      </c>
      <c r="C8" s="57" t="s">
        <v>32</v>
      </c>
      <c r="D8" s="57" t="s">
        <v>22</v>
      </c>
      <c r="E8" s="57" t="s">
        <v>28</v>
      </c>
      <c r="F8" s="58">
        <v>41092.129999999997</v>
      </c>
      <c r="G8" s="57">
        <v>61707</v>
      </c>
      <c r="H8" s="57">
        <v>17670</v>
      </c>
      <c r="I8" s="57">
        <v>490</v>
      </c>
      <c r="J8" s="58">
        <v>33284.6253</v>
      </c>
      <c r="K8" s="55">
        <f t="shared" si="0"/>
        <v>-0.18999999999999995</v>
      </c>
      <c r="L8" s="56">
        <f t="shared" si="1"/>
        <v>-0.18999999999999995</v>
      </c>
      <c r="M8" s="56" t="str">
        <f t="shared" si="2"/>
        <v/>
      </c>
      <c r="N8" s="56" t="str">
        <f t="shared" si="3"/>
        <v>OK</v>
      </c>
      <c r="O8" s="2"/>
      <c r="P8" s="27"/>
      <c r="Q8" s="2"/>
      <c r="R8" s="2"/>
    </row>
    <row r="9" spans="1:20" x14ac:dyDescent="0.35">
      <c r="A9" s="53">
        <v>757</v>
      </c>
      <c r="B9" s="53" t="s">
        <v>14</v>
      </c>
      <c r="C9" s="53" t="s">
        <v>32</v>
      </c>
      <c r="D9" s="53" t="s">
        <v>21</v>
      </c>
      <c r="E9" s="53" t="s">
        <v>28</v>
      </c>
      <c r="F9" s="54">
        <v>43306.64</v>
      </c>
      <c r="G9" s="53">
        <v>173187</v>
      </c>
      <c r="H9" s="53">
        <v>6648</v>
      </c>
      <c r="I9" s="53">
        <v>152</v>
      </c>
      <c r="J9" s="54">
        <v>35078.378400000001</v>
      </c>
      <c r="K9" s="55">
        <f t="shared" si="0"/>
        <v>-0.18999999999999995</v>
      </c>
      <c r="L9" s="56">
        <f t="shared" si="1"/>
        <v>-0.18999999999999995</v>
      </c>
      <c r="M9" s="56" t="str">
        <f t="shared" si="2"/>
        <v/>
      </c>
      <c r="N9" s="56" t="str">
        <f t="shared" si="3"/>
        <v>OK</v>
      </c>
      <c r="O9" s="2"/>
      <c r="P9" s="27"/>
      <c r="Q9" s="2"/>
      <c r="R9" s="2"/>
    </row>
    <row r="10" spans="1:20" x14ac:dyDescent="0.35">
      <c r="A10" s="53">
        <v>745</v>
      </c>
      <c r="B10" s="53" t="s">
        <v>9</v>
      </c>
      <c r="C10" s="53" t="s">
        <v>31</v>
      </c>
      <c r="D10" s="53" t="s">
        <v>18</v>
      </c>
      <c r="E10" s="53" t="s">
        <v>29</v>
      </c>
      <c r="F10" s="54">
        <v>1298.3499999999999</v>
      </c>
      <c r="G10" s="53">
        <v>909485</v>
      </c>
      <c r="H10" s="53">
        <v>817</v>
      </c>
      <c r="I10" s="53">
        <v>488</v>
      </c>
      <c r="J10" s="54">
        <v>1051.6635000000001</v>
      </c>
      <c r="K10" s="55">
        <f t="shared" si="0"/>
        <v>-0.18999999999999986</v>
      </c>
      <c r="L10" s="56" t="str">
        <f t="shared" si="1"/>
        <v/>
      </c>
      <c r="M10" s="56">
        <f t="shared" si="2"/>
        <v>-0.18999999999999986</v>
      </c>
      <c r="N10" s="56" t="str">
        <f t="shared" si="3"/>
        <v>OK</v>
      </c>
      <c r="O10" s="2"/>
      <c r="P10" s="27"/>
      <c r="Q10" s="2"/>
      <c r="R10" s="2"/>
      <c r="T10" s="47" t="s">
        <v>46</v>
      </c>
    </row>
    <row r="11" spans="1:20" x14ac:dyDescent="0.35">
      <c r="A11" s="53">
        <v>793</v>
      </c>
      <c r="B11" s="53" t="s">
        <v>15</v>
      </c>
      <c r="C11" s="53" t="s">
        <v>32</v>
      </c>
      <c r="D11" s="53" t="s">
        <v>18</v>
      </c>
      <c r="E11" s="53" t="s">
        <v>26</v>
      </c>
      <c r="F11" s="54">
        <v>20719.89</v>
      </c>
      <c r="G11" s="53">
        <v>341310</v>
      </c>
      <c r="H11" s="53">
        <v>13474</v>
      </c>
      <c r="I11" s="53">
        <v>1197</v>
      </c>
      <c r="J11" s="54">
        <v>16990.309799999999</v>
      </c>
      <c r="K11" s="55">
        <f t="shared" si="0"/>
        <v>-0.18000000000000002</v>
      </c>
      <c r="L11" s="56">
        <f t="shared" si="1"/>
        <v>-0.18000000000000002</v>
      </c>
      <c r="M11" s="56" t="str">
        <f t="shared" si="2"/>
        <v/>
      </c>
      <c r="N11" s="56" t="str">
        <f t="shared" si="3"/>
        <v>OK</v>
      </c>
      <c r="O11" s="2"/>
      <c r="P11" s="27"/>
      <c r="Q11" s="2"/>
      <c r="R11" s="2"/>
      <c r="T11" s="1">
        <f>CORREL(F2:F1001, K2:K1001)</f>
        <v>3.5818743586237926E-2</v>
      </c>
    </row>
    <row r="12" spans="1:20" x14ac:dyDescent="0.35">
      <c r="A12" s="53">
        <v>929</v>
      </c>
      <c r="B12" s="53" t="s">
        <v>10</v>
      </c>
      <c r="C12" s="53" t="s">
        <v>31</v>
      </c>
      <c r="D12" s="53" t="s">
        <v>21</v>
      </c>
      <c r="E12" s="53" t="s">
        <v>29</v>
      </c>
      <c r="F12" s="54">
        <v>28503.38</v>
      </c>
      <c r="G12" s="53">
        <v>55095</v>
      </c>
      <c r="H12" s="53">
        <v>7306</v>
      </c>
      <c r="I12" s="53">
        <v>188</v>
      </c>
      <c r="J12" s="54">
        <v>23372.7716</v>
      </c>
      <c r="K12" s="55">
        <f t="shared" si="0"/>
        <v>-0.18000000000000002</v>
      </c>
      <c r="L12" s="56" t="str">
        <f t="shared" si="1"/>
        <v/>
      </c>
      <c r="M12" s="56">
        <f t="shared" si="2"/>
        <v>-0.18000000000000002</v>
      </c>
      <c r="N12" s="56" t="str">
        <f t="shared" si="3"/>
        <v>OK</v>
      </c>
      <c r="O12" s="2"/>
      <c r="P12" s="27"/>
      <c r="Q12" s="2"/>
      <c r="R12" s="2"/>
    </row>
    <row r="13" spans="1:20" x14ac:dyDescent="0.35">
      <c r="A13" s="53">
        <v>141</v>
      </c>
      <c r="B13" s="53" t="s">
        <v>13</v>
      </c>
      <c r="C13" s="53" t="s">
        <v>32</v>
      </c>
      <c r="D13" s="53" t="s">
        <v>22</v>
      </c>
      <c r="E13" s="53" t="s">
        <v>27</v>
      </c>
      <c r="F13" s="54">
        <v>19199.68</v>
      </c>
      <c r="G13" s="53">
        <v>335497</v>
      </c>
      <c r="H13" s="53">
        <v>13978</v>
      </c>
      <c r="I13" s="53">
        <v>1662</v>
      </c>
      <c r="J13" s="54">
        <v>15743.7376</v>
      </c>
      <c r="K13" s="55">
        <f t="shared" si="0"/>
        <v>-0.18</v>
      </c>
      <c r="L13" s="56">
        <f t="shared" si="1"/>
        <v>-0.18</v>
      </c>
      <c r="M13" s="56" t="str">
        <f t="shared" si="2"/>
        <v/>
      </c>
      <c r="N13" s="56" t="str">
        <f t="shared" si="3"/>
        <v>OK</v>
      </c>
      <c r="O13" s="2"/>
      <c r="P13" s="27"/>
      <c r="Q13" s="2"/>
      <c r="R13" s="2"/>
    </row>
    <row r="14" spans="1:20" ht="15.5" x14ac:dyDescent="0.45">
      <c r="A14" s="57">
        <v>462</v>
      </c>
      <c r="B14" s="57" t="s">
        <v>15</v>
      </c>
      <c r="C14" s="57" t="s">
        <v>32</v>
      </c>
      <c r="D14" s="57" t="s">
        <v>20</v>
      </c>
      <c r="E14" s="57" t="s">
        <v>28</v>
      </c>
      <c r="F14" s="58">
        <v>39550.769999999997</v>
      </c>
      <c r="G14" s="57">
        <v>145189</v>
      </c>
      <c r="H14" s="57">
        <v>5466</v>
      </c>
      <c r="I14" s="57">
        <v>1733</v>
      </c>
      <c r="J14" s="58">
        <v>32431.631399999998</v>
      </c>
      <c r="K14" s="55">
        <f t="shared" si="0"/>
        <v>-0.17999999999999997</v>
      </c>
      <c r="L14" s="56">
        <f t="shared" si="1"/>
        <v>-0.17999999999999997</v>
      </c>
      <c r="M14" s="56" t="str">
        <f t="shared" si="2"/>
        <v/>
      </c>
      <c r="N14" s="56" t="str">
        <f t="shared" si="3"/>
        <v>OK</v>
      </c>
      <c r="O14" s="2"/>
      <c r="P14" s="27"/>
      <c r="Q14" s="2"/>
      <c r="R14" s="2"/>
      <c r="S14" s="63" t="s">
        <v>64</v>
      </c>
      <c r="T14" s="64"/>
    </row>
    <row r="15" spans="1:20" x14ac:dyDescent="0.35">
      <c r="A15" s="57">
        <v>600</v>
      </c>
      <c r="B15" s="57" t="s">
        <v>10</v>
      </c>
      <c r="C15" s="57" t="s">
        <v>31</v>
      </c>
      <c r="D15" s="57" t="s">
        <v>20</v>
      </c>
      <c r="E15" s="57" t="s">
        <v>29</v>
      </c>
      <c r="F15" s="58">
        <v>6157.7</v>
      </c>
      <c r="G15" s="57">
        <v>863329</v>
      </c>
      <c r="H15" s="57">
        <v>16555</v>
      </c>
      <c r="I15" s="57">
        <v>74</v>
      </c>
      <c r="J15" s="58">
        <v>5049.3140000000003</v>
      </c>
      <c r="K15" s="55">
        <f t="shared" si="0"/>
        <v>-0.17999999999999994</v>
      </c>
      <c r="L15" s="56" t="str">
        <f t="shared" si="1"/>
        <v/>
      </c>
      <c r="M15" s="56">
        <f t="shared" si="2"/>
        <v>-0.17999999999999994</v>
      </c>
      <c r="N15" s="56" t="str">
        <f t="shared" si="3"/>
        <v>OK</v>
      </c>
      <c r="O15" s="2"/>
      <c r="P15" s="27"/>
      <c r="Q15" s="2"/>
      <c r="R15" s="2"/>
      <c r="S15" s="29"/>
      <c r="T15" s="30"/>
    </row>
    <row r="16" spans="1:20" ht="16" x14ac:dyDescent="0.4">
      <c r="A16" s="57">
        <v>694</v>
      </c>
      <c r="B16" s="57" t="s">
        <v>12</v>
      </c>
      <c r="C16" s="57" t="s">
        <v>32</v>
      </c>
      <c r="D16" s="57" t="s">
        <v>20</v>
      </c>
      <c r="E16" s="57" t="s">
        <v>27</v>
      </c>
      <c r="F16" s="58">
        <v>24347.69</v>
      </c>
      <c r="G16" s="57">
        <v>335203</v>
      </c>
      <c r="H16" s="57">
        <v>17931</v>
      </c>
      <c r="I16" s="57">
        <v>1978</v>
      </c>
      <c r="J16" s="58">
        <v>19965.105800000001</v>
      </c>
      <c r="K16" s="55">
        <f t="shared" si="0"/>
        <v>-0.17999999999999991</v>
      </c>
      <c r="L16" s="56">
        <f t="shared" si="1"/>
        <v>-0.17999999999999991</v>
      </c>
      <c r="M16" s="56" t="str">
        <f t="shared" si="2"/>
        <v/>
      </c>
      <c r="N16" s="56" t="str">
        <f t="shared" si="3"/>
        <v>OK</v>
      </c>
      <c r="O16" s="2"/>
      <c r="P16" s="27"/>
      <c r="Q16" s="2"/>
      <c r="R16" s="2"/>
      <c r="S16" s="31" t="s">
        <v>65</v>
      </c>
      <c r="T16" s="36">
        <v>865</v>
      </c>
    </row>
    <row r="17" spans="1:20" x14ac:dyDescent="0.35">
      <c r="A17" s="53">
        <v>619</v>
      </c>
      <c r="B17" s="53" t="s">
        <v>8</v>
      </c>
      <c r="C17" s="53" t="s">
        <v>31</v>
      </c>
      <c r="D17" s="53" t="s">
        <v>19</v>
      </c>
      <c r="E17" s="53" t="s">
        <v>24</v>
      </c>
      <c r="F17" s="54">
        <v>24226.31</v>
      </c>
      <c r="G17" s="53">
        <v>33248</v>
      </c>
      <c r="H17" s="53">
        <v>7028</v>
      </c>
      <c r="I17" s="53">
        <v>624</v>
      </c>
      <c r="J17" s="54">
        <v>20107.837299999999</v>
      </c>
      <c r="K17" s="55">
        <f t="shared" si="0"/>
        <v>-0.17000000000000007</v>
      </c>
      <c r="L17" s="56" t="str">
        <f t="shared" si="1"/>
        <v/>
      </c>
      <c r="M17" s="56">
        <f t="shared" si="2"/>
        <v>-0.17000000000000007</v>
      </c>
      <c r="N17" s="56" t="str">
        <f t="shared" si="3"/>
        <v>OK</v>
      </c>
      <c r="O17" s="2"/>
      <c r="P17" s="27"/>
      <c r="Q17" s="2"/>
      <c r="R17" s="2"/>
      <c r="S17" s="31"/>
      <c r="T17" s="30"/>
    </row>
    <row r="18" spans="1:20" ht="16" x14ac:dyDescent="0.4">
      <c r="A18" s="53">
        <v>997</v>
      </c>
      <c r="B18" s="53" t="s">
        <v>11</v>
      </c>
      <c r="C18" s="53" t="s">
        <v>32</v>
      </c>
      <c r="D18" s="53" t="s">
        <v>19</v>
      </c>
      <c r="E18" s="53" t="s">
        <v>24</v>
      </c>
      <c r="F18" s="54">
        <v>20246.900000000001</v>
      </c>
      <c r="G18" s="53">
        <v>298213</v>
      </c>
      <c r="H18" s="53">
        <v>4154</v>
      </c>
      <c r="I18" s="53">
        <v>1535</v>
      </c>
      <c r="J18" s="54">
        <v>16804.927</v>
      </c>
      <c r="K18" s="55">
        <f t="shared" si="0"/>
        <v>-0.17000000000000007</v>
      </c>
      <c r="L18" s="56">
        <f t="shared" si="1"/>
        <v>-0.17000000000000007</v>
      </c>
      <c r="M18" s="56" t="str">
        <f t="shared" si="2"/>
        <v/>
      </c>
      <c r="N18" s="56" t="str">
        <f t="shared" si="3"/>
        <v>OK</v>
      </c>
      <c r="O18" s="2"/>
      <c r="P18" s="27"/>
      <c r="Q18" s="2"/>
      <c r="R18" s="2"/>
      <c r="S18" s="31" t="s">
        <v>71</v>
      </c>
      <c r="T18" s="33" t="str" cm="1">
        <f t="array" ref="T18:T22">IFERROR(TRANSPOSE(INDEX(A2:M1001,MATCH(T16,A2:A1001,0),{2,4,5,6,11})),"Not Found")</f>
        <v>Search Engine Ads</v>
      </c>
    </row>
    <row r="19" spans="1:20" ht="16" x14ac:dyDescent="0.4">
      <c r="A19" s="57">
        <v>276</v>
      </c>
      <c r="B19" s="57" t="s">
        <v>12</v>
      </c>
      <c r="C19" s="57" t="s">
        <v>32</v>
      </c>
      <c r="D19" s="57" t="s">
        <v>22</v>
      </c>
      <c r="E19" s="57" t="s">
        <v>29</v>
      </c>
      <c r="F19" s="58">
        <v>40118.870000000003</v>
      </c>
      <c r="G19" s="57">
        <v>532552</v>
      </c>
      <c r="H19" s="57">
        <v>17260</v>
      </c>
      <c r="I19" s="57">
        <v>1072</v>
      </c>
      <c r="J19" s="58">
        <v>33298.662100000001</v>
      </c>
      <c r="K19" s="55">
        <f t="shared" si="0"/>
        <v>-0.17</v>
      </c>
      <c r="L19" s="56">
        <f t="shared" si="1"/>
        <v>-0.17</v>
      </c>
      <c r="M19" s="56" t="str">
        <f t="shared" si="2"/>
        <v/>
      </c>
      <c r="N19" s="56" t="str">
        <f t="shared" si="3"/>
        <v>OK</v>
      </c>
      <c r="O19" s="2"/>
      <c r="P19" s="27"/>
      <c r="Q19" s="2"/>
      <c r="R19" s="2"/>
      <c r="S19" s="31" t="s">
        <v>60</v>
      </c>
      <c r="T19" s="33" t="str">
        <v>South America</v>
      </c>
    </row>
    <row r="20" spans="1:20" ht="16" x14ac:dyDescent="0.4">
      <c r="A20" s="53">
        <v>553</v>
      </c>
      <c r="B20" s="53" t="s">
        <v>15</v>
      </c>
      <c r="C20" s="53" t="s">
        <v>32</v>
      </c>
      <c r="D20" s="53" t="s">
        <v>20</v>
      </c>
      <c r="E20" s="53" t="s">
        <v>27</v>
      </c>
      <c r="F20" s="54">
        <v>22993.8</v>
      </c>
      <c r="G20" s="53">
        <v>341356</v>
      </c>
      <c r="H20" s="53">
        <v>11560</v>
      </c>
      <c r="I20" s="53">
        <v>1308</v>
      </c>
      <c r="J20" s="54">
        <v>19084.853999999999</v>
      </c>
      <c r="K20" s="55">
        <f t="shared" si="0"/>
        <v>-0.17</v>
      </c>
      <c r="L20" s="56">
        <f t="shared" si="1"/>
        <v>-0.17</v>
      </c>
      <c r="M20" s="56" t="str">
        <f t="shared" si="2"/>
        <v/>
      </c>
      <c r="N20" s="56" t="str">
        <f t="shared" si="3"/>
        <v>OK</v>
      </c>
      <c r="O20" s="2"/>
      <c r="P20" s="27"/>
      <c r="Q20" s="2"/>
      <c r="R20" s="2"/>
      <c r="S20" s="31" t="s">
        <v>61</v>
      </c>
      <c r="T20" s="34" t="str">
        <v>Tech</v>
      </c>
    </row>
    <row r="21" spans="1:20" ht="16" x14ac:dyDescent="0.4">
      <c r="A21" s="57">
        <v>98</v>
      </c>
      <c r="B21" s="57" t="s">
        <v>12</v>
      </c>
      <c r="C21" s="57" t="s">
        <v>32</v>
      </c>
      <c r="D21" s="57" t="s">
        <v>21</v>
      </c>
      <c r="E21" s="57" t="s">
        <v>25</v>
      </c>
      <c r="F21" s="58">
        <v>34240.559999999998</v>
      </c>
      <c r="G21" s="57">
        <v>990547</v>
      </c>
      <c r="H21" s="57">
        <v>15033</v>
      </c>
      <c r="I21" s="57">
        <v>444</v>
      </c>
      <c r="J21" s="58">
        <v>28419.664799999999</v>
      </c>
      <c r="K21" s="55">
        <f t="shared" si="0"/>
        <v>-0.16999999999999998</v>
      </c>
      <c r="L21" s="56">
        <f t="shared" si="1"/>
        <v>-0.16999999999999998</v>
      </c>
      <c r="M21" s="56" t="str">
        <f t="shared" si="2"/>
        <v/>
      </c>
      <c r="N21" s="56" t="str">
        <f t="shared" si="3"/>
        <v>OK</v>
      </c>
      <c r="O21" s="2"/>
      <c r="P21" s="27"/>
      <c r="Q21" s="2"/>
      <c r="R21" s="2"/>
      <c r="S21" s="31" t="s">
        <v>62</v>
      </c>
      <c r="T21" s="34">
        <v>5181.7299999999996</v>
      </c>
    </row>
    <row r="22" spans="1:20" ht="16" x14ac:dyDescent="0.4">
      <c r="A22" s="53">
        <v>369</v>
      </c>
      <c r="B22" s="53" t="s">
        <v>9</v>
      </c>
      <c r="C22" s="53" t="s">
        <v>31</v>
      </c>
      <c r="D22" s="53" t="s">
        <v>20</v>
      </c>
      <c r="E22" s="53" t="s">
        <v>26</v>
      </c>
      <c r="F22" s="54">
        <v>43452.94</v>
      </c>
      <c r="G22" s="53">
        <v>842721</v>
      </c>
      <c r="H22" s="53">
        <v>5950</v>
      </c>
      <c r="I22" s="53">
        <v>512</v>
      </c>
      <c r="J22" s="54">
        <v>36500.469599999997</v>
      </c>
      <c r="K22" s="55">
        <f t="shared" si="0"/>
        <v>-0.16000000000000011</v>
      </c>
      <c r="L22" s="56" t="str">
        <f t="shared" si="1"/>
        <v/>
      </c>
      <c r="M22" s="56">
        <f t="shared" si="2"/>
        <v>-0.16000000000000011</v>
      </c>
      <c r="N22" s="56" t="str">
        <f t="shared" si="3"/>
        <v>OK</v>
      </c>
      <c r="O22" s="2"/>
      <c r="P22" s="27"/>
      <c r="Q22" s="2"/>
      <c r="R22" s="2"/>
      <c r="S22" s="32" t="s">
        <v>63</v>
      </c>
      <c r="T22" s="35">
        <v>1.3500000000000003</v>
      </c>
    </row>
    <row r="23" spans="1:20" x14ac:dyDescent="0.35">
      <c r="A23" s="57">
        <v>126</v>
      </c>
      <c r="B23" s="57" t="s">
        <v>13</v>
      </c>
      <c r="C23" s="57" t="s">
        <v>32</v>
      </c>
      <c r="D23" s="57" t="s">
        <v>19</v>
      </c>
      <c r="E23" s="57" t="s">
        <v>25</v>
      </c>
      <c r="F23" s="58">
        <v>30505.14</v>
      </c>
      <c r="G23" s="57">
        <v>397699</v>
      </c>
      <c r="H23" s="57">
        <v>13381</v>
      </c>
      <c r="I23" s="57">
        <v>1976</v>
      </c>
      <c r="J23" s="58">
        <v>25624.317599999998</v>
      </c>
      <c r="K23" s="55">
        <f t="shared" si="0"/>
        <v>-0.16000000000000003</v>
      </c>
      <c r="L23" s="56">
        <f t="shared" si="1"/>
        <v>-0.16000000000000003</v>
      </c>
      <c r="M23" s="56" t="str">
        <f t="shared" si="2"/>
        <v/>
      </c>
      <c r="N23" s="56" t="str">
        <f t="shared" si="3"/>
        <v>OK</v>
      </c>
      <c r="O23" s="2"/>
      <c r="P23" s="27"/>
      <c r="Q23" s="2"/>
      <c r="R23" s="2"/>
    </row>
    <row r="24" spans="1:20" x14ac:dyDescent="0.35">
      <c r="A24" s="57">
        <v>304</v>
      </c>
      <c r="B24" s="57" t="s">
        <v>10</v>
      </c>
      <c r="C24" s="57" t="s">
        <v>31</v>
      </c>
      <c r="D24" s="57" t="s">
        <v>17</v>
      </c>
      <c r="E24" s="57" t="s">
        <v>26</v>
      </c>
      <c r="F24" s="58">
        <v>36899.129999999997</v>
      </c>
      <c r="G24" s="57">
        <v>139887</v>
      </c>
      <c r="H24" s="57">
        <v>14780</v>
      </c>
      <c r="I24" s="57">
        <v>1745</v>
      </c>
      <c r="J24" s="58">
        <v>30995.269199999999</v>
      </c>
      <c r="K24" s="55">
        <f t="shared" si="0"/>
        <v>-0.15999999999999998</v>
      </c>
      <c r="L24" s="56" t="str">
        <f t="shared" si="1"/>
        <v/>
      </c>
      <c r="M24" s="56">
        <f t="shared" si="2"/>
        <v>-0.15999999999999998</v>
      </c>
      <c r="N24" s="56" t="str">
        <f t="shared" si="3"/>
        <v>OK</v>
      </c>
      <c r="O24" s="2"/>
      <c r="P24" s="27"/>
      <c r="Q24" s="2"/>
      <c r="R24" s="2"/>
    </row>
    <row r="25" spans="1:20" x14ac:dyDescent="0.35">
      <c r="A25" s="53">
        <v>671</v>
      </c>
      <c r="B25" s="53" t="s">
        <v>11</v>
      </c>
      <c r="C25" s="53" t="s">
        <v>32</v>
      </c>
      <c r="D25" s="53" t="s">
        <v>22</v>
      </c>
      <c r="E25" s="53" t="s">
        <v>25</v>
      </c>
      <c r="F25" s="54">
        <v>23872.32</v>
      </c>
      <c r="G25" s="53">
        <v>148368</v>
      </c>
      <c r="H25" s="53">
        <v>2518</v>
      </c>
      <c r="I25" s="53">
        <v>1108</v>
      </c>
      <c r="J25" s="54">
        <v>20052.748800000001</v>
      </c>
      <c r="K25" s="55">
        <f t="shared" si="0"/>
        <v>-0.15999999999999995</v>
      </c>
      <c r="L25" s="56">
        <f t="shared" si="1"/>
        <v>-0.15999999999999995</v>
      </c>
      <c r="M25" s="56" t="str">
        <f t="shared" si="2"/>
        <v/>
      </c>
      <c r="N25" s="56" t="str">
        <f t="shared" si="3"/>
        <v>OK</v>
      </c>
      <c r="O25" s="2"/>
      <c r="P25" s="27"/>
      <c r="Q25" s="2"/>
      <c r="R25" s="2"/>
    </row>
    <row r="26" spans="1:20" x14ac:dyDescent="0.35">
      <c r="A26" s="53">
        <v>947</v>
      </c>
      <c r="B26" s="53" t="s">
        <v>15</v>
      </c>
      <c r="C26" s="53" t="s">
        <v>32</v>
      </c>
      <c r="D26" s="53" t="s">
        <v>21</v>
      </c>
      <c r="E26" s="53" t="s">
        <v>28</v>
      </c>
      <c r="F26" s="54">
        <v>27401.84</v>
      </c>
      <c r="G26" s="53">
        <v>450880</v>
      </c>
      <c r="H26" s="53">
        <v>5347</v>
      </c>
      <c r="I26" s="53">
        <v>1791</v>
      </c>
      <c r="J26" s="54">
        <v>23017.545600000001</v>
      </c>
      <c r="K26" s="55">
        <f t="shared" si="0"/>
        <v>-0.15999999999999995</v>
      </c>
      <c r="L26" s="56">
        <f t="shared" si="1"/>
        <v>-0.15999999999999995</v>
      </c>
      <c r="M26" s="56" t="str">
        <f t="shared" si="2"/>
        <v/>
      </c>
      <c r="N26" s="56" t="str">
        <f t="shared" si="3"/>
        <v>OK</v>
      </c>
      <c r="O26" s="2"/>
      <c r="P26" s="27"/>
      <c r="Q26" s="2"/>
      <c r="R26" s="2"/>
    </row>
    <row r="27" spans="1:20" x14ac:dyDescent="0.35">
      <c r="A27" s="53">
        <v>895</v>
      </c>
      <c r="B27" s="53" t="s">
        <v>12</v>
      </c>
      <c r="C27" s="53" t="s">
        <v>32</v>
      </c>
      <c r="D27" s="53" t="s">
        <v>19</v>
      </c>
      <c r="E27" s="53" t="s">
        <v>29</v>
      </c>
      <c r="F27" s="54">
        <v>19746.439999999999</v>
      </c>
      <c r="G27" s="53">
        <v>526479</v>
      </c>
      <c r="H27" s="53">
        <v>2637</v>
      </c>
      <c r="I27" s="53">
        <v>527</v>
      </c>
      <c r="J27" s="54">
        <v>16587.009600000001</v>
      </c>
      <c r="K27" s="55">
        <f t="shared" si="0"/>
        <v>-0.15999999999999989</v>
      </c>
      <c r="L27" s="56">
        <f t="shared" si="1"/>
        <v>-0.15999999999999989</v>
      </c>
      <c r="M27" s="56" t="str">
        <f t="shared" si="2"/>
        <v/>
      </c>
      <c r="N27" s="56" t="str">
        <f t="shared" si="3"/>
        <v>OK</v>
      </c>
      <c r="O27" s="2"/>
      <c r="P27" s="27"/>
      <c r="Q27" s="2"/>
      <c r="R27" s="2"/>
    </row>
    <row r="28" spans="1:20" x14ac:dyDescent="0.35">
      <c r="A28" s="57">
        <v>582</v>
      </c>
      <c r="B28" s="57" t="s">
        <v>11</v>
      </c>
      <c r="C28" s="57" t="s">
        <v>32</v>
      </c>
      <c r="D28" s="57" t="s">
        <v>18</v>
      </c>
      <c r="E28" s="57" t="s">
        <v>27</v>
      </c>
      <c r="F28" s="58">
        <v>9115.7900000000009</v>
      </c>
      <c r="G28" s="57">
        <v>243540</v>
      </c>
      <c r="H28" s="57">
        <v>1549</v>
      </c>
      <c r="I28" s="57">
        <v>319</v>
      </c>
      <c r="J28" s="58">
        <v>7748.4215000000004</v>
      </c>
      <c r="K28" s="55">
        <f t="shared" si="0"/>
        <v>-0.15000000000000005</v>
      </c>
      <c r="L28" s="56">
        <f t="shared" si="1"/>
        <v>-0.15000000000000005</v>
      </c>
      <c r="M28" s="56" t="str">
        <f t="shared" si="2"/>
        <v/>
      </c>
      <c r="N28" s="56" t="str">
        <f t="shared" si="3"/>
        <v>OK</v>
      </c>
      <c r="O28" s="2"/>
      <c r="P28" s="27"/>
      <c r="Q28" s="2"/>
      <c r="R28" s="2"/>
    </row>
    <row r="29" spans="1:20" x14ac:dyDescent="0.35">
      <c r="A29" s="57">
        <v>696</v>
      </c>
      <c r="B29" s="57" t="s">
        <v>12</v>
      </c>
      <c r="C29" s="57" t="s">
        <v>32</v>
      </c>
      <c r="D29" s="57" t="s">
        <v>20</v>
      </c>
      <c r="E29" s="57" t="s">
        <v>26</v>
      </c>
      <c r="F29" s="58">
        <v>3914.11</v>
      </c>
      <c r="G29" s="57">
        <v>354866</v>
      </c>
      <c r="H29" s="57">
        <v>17091</v>
      </c>
      <c r="I29" s="57">
        <v>1159</v>
      </c>
      <c r="J29" s="58">
        <v>3326.9935</v>
      </c>
      <c r="K29" s="55">
        <f t="shared" si="0"/>
        <v>-0.15000000000000002</v>
      </c>
      <c r="L29" s="56">
        <f t="shared" si="1"/>
        <v>-0.15000000000000002</v>
      </c>
      <c r="M29" s="56" t="str">
        <f t="shared" si="2"/>
        <v/>
      </c>
      <c r="N29" s="56" t="str">
        <f t="shared" si="3"/>
        <v>OK</v>
      </c>
      <c r="O29" s="2"/>
      <c r="P29" s="27"/>
      <c r="Q29" s="2"/>
      <c r="R29" s="2"/>
    </row>
    <row r="30" spans="1:20" x14ac:dyDescent="0.35">
      <c r="A30" s="57">
        <v>826</v>
      </c>
      <c r="B30" s="57" t="s">
        <v>12</v>
      </c>
      <c r="C30" s="57" t="s">
        <v>32</v>
      </c>
      <c r="D30" s="57" t="s">
        <v>20</v>
      </c>
      <c r="E30" s="57" t="s">
        <v>29</v>
      </c>
      <c r="F30" s="58">
        <v>9957.5499999999993</v>
      </c>
      <c r="G30" s="57">
        <v>736448</v>
      </c>
      <c r="H30" s="57">
        <v>9121</v>
      </c>
      <c r="I30" s="57">
        <v>502</v>
      </c>
      <c r="J30" s="58">
        <v>8463.9174999999996</v>
      </c>
      <c r="K30" s="55">
        <f t="shared" si="0"/>
        <v>-0.15</v>
      </c>
      <c r="L30" s="56">
        <f t="shared" si="1"/>
        <v>-0.15</v>
      </c>
      <c r="M30" s="56" t="str">
        <f t="shared" si="2"/>
        <v/>
      </c>
      <c r="N30" s="56" t="str">
        <f t="shared" si="3"/>
        <v>OK</v>
      </c>
      <c r="O30" s="2"/>
      <c r="P30" s="27"/>
      <c r="Q30" s="2"/>
      <c r="R30" s="2"/>
    </row>
    <row r="31" spans="1:20" x14ac:dyDescent="0.35">
      <c r="A31" s="53">
        <v>81</v>
      </c>
      <c r="B31" s="53" t="s">
        <v>8</v>
      </c>
      <c r="C31" s="53" t="s">
        <v>31</v>
      </c>
      <c r="D31" s="53" t="s">
        <v>21</v>
      </c>
      <c r="E31" s="53" t="s">
        <v>26</v>
      </c>
      <c r="F31" s="54">
        <v>10503.74</v>
      </c>
      <c r="G31" s="53">
        <v>40099</v>
      </c>
      <c r="H31" s="53">
        <v>6723</v>
      </c>
      <c r="I31" s="53">
        <v>220</v>
      </c>
      <c r="J31" s="54">
        <v>8928.1790000000001</v>
      </c>
      <c r="K31" s="55">
        <f t="shared" si="0"/>
        <v>-0.14999999999999997</v>
      </c>
      <c r="L31" s="56" t="str">
        <f t="shared" si="1"/>
        <v/>
      </c>
      <c r="M31" s="56">
        <f t="shared" si="2"/>
        <v>-0.14999999999999997</v>
      </c>
      <c r="N31" s="56" t="str">
        <f t="shared" si="3"/>
        <v>OK</v>
      </c>
      <c r="O31" s="2"/>
      <c r="P31" s="27"/>
      <c r="Q31" s="2"/>
      <c r="R31" s="2"/>
    </row>
    <row r="32" spans="1:20" x14ac:dyDescent="0.35">
      <c r="A32" s="57">
        <v>288</v>
      </c>
      <c r="B32" s="57" t="s">
        <v>15</v>
      </c>
      <c r="C32" s="57" t="s">
        <v>32</v>
      </c>
      <c r="D32" s="57" t="s">
        <v>19</v>
      </c>
      <c r="E32" s="57" t="s">
        <v>26</v>
      </c>
      <c r="F32" s="58">
        <v>16305.11</v>
      </c>
      <c r="G32" s="57">
        <v>438276</v>
      </c>
      <c r="H32" s="57">
        <v>2540</v>
      </c>
      <c r="I32" s="57">
        <v>1563</v>
      </c>
      <c r="J32" s="58">
        <v>13859.343500000001</v>
      </c>
      <c r="K32" s="55">
        <f t="shared" si="0"/>
        <v>-0.14999999999999997</v>
      </c>
      <c r="L32" s="56">
        <f t="shared" si="1"/>
        <v>-0.14999999999999997</v>
      </c>
      <c r="M32" s="56" t="str">
        <f t="shared" si="2"/>
        <v/>
      </c>
      <c r="N32" s="56" t="str">
        <f t="shared" si="3"/>
        <v>OK</v>
      </c>
      <c r="O32" s="2"/>
      <c r="P32" s="27"/>
      <c r="Q32" s="2"/>
      <c r="R32" s="2"/>
    </row>
    <row r="33" spans="1:18" x14ac:dyDescent="0.35">
      <c r="A33" s="53">
        <v>999</v>
      </c>
      <c r="B33" s="53" t="s">
        <v>13</v>
      </c>
      <c r="C33" s="53" t="s">
        <v>32</v>
      </c>
      <c r="D33" s="53" t="s">
        <v>22</v>
      </c>
      <c r="E33" s="53" t="s">
        <v>29</v>
      </c>
      <c r="F33" s="54">
        <v>38881.360000000001</v>
      </c>
      <c r="G33" s="53">
        <v>983737</v>
      </c>
      <c r="H33" s="53">
        <v>12272</v>
      </c>
      <c r="I33" s="53">
        <v>1531</v>
      </c>
      <c r="J33" s="54">
        <v>33437.969599999997</v>
      </c>
      <c r="K33" s="55">
        <f t="shared" si="0"/>
        <v>-0.1400000000000001</v>
      </c>
      <c r="L33" s="56">
        <f t="shared" si="1"/>
        <v>-0.1400000000000001</v>
      </c>
      <c r="M33" s="56" t="str">
        <f t="shared" si="2"/>
        <v/>
      </c>
      <c r="N33" s="56" t="str">
        <f t="shared" si="3"/>
        <v>OK</v>
      </c>
      <c r="O33" s="2"/>
      <c r="P33" s="27"/>
      <c r="Q33" s="2"/>
      <c r="R33" s="2"/>
    </row>
    <row r="34" spans="1:18" x14ac:dyDescent="0.35">
      <c r="A34" s="57">
        <v>20</v>
      </c>
      <c r="B34" s="57" t="s">
        <v>9</v>
      </c>
      <c r="C34" s="57" t="s">
        <v>31</v>
      </c>
      <c r="D34" s="57" t="s">
        <v>20</v>
      </c>
      <c r="E34" s="57" t="s">
        <v>29</v>
      </c>
      <c r="F34" s="58">
        <v>24242.47</v>
      </c>
      <c r="G34" s="57">
        <v>291854</v>
      </c>
      <c r="H34" s="57">
        <v>16854</v>
      </c>
      <c r="I34" s="57">
        <v>1888</v>
      </c>
      <c r="J34" s="58">
        <v>20848.5242</v>
      </c>
      <c r="K34" s="55">
        <f t="shared" si="0"/>
        <v>-0.14000000000000004</v>
      </c>
      <c r="L34" s="56" t="str">
        <f t="shared" si="1"/>
        <v/>
      </c>
      <c r="M34" s="56">
        <f t="shared" si="2"/>
        <v>-0.14000000000000004</v>
      </c>
      <c r="N34" s="56" t="str">
        <f t="shared" si="3"/>
        <v>OK</v>
      </c>
      <c r="O34" s="2"/>
      <c r="P34" s="27"/>
      <c r="Q34" s="2"/>
      <c r="R34" s="2"/>
    </row>
    <row r="35" spans="1:18" x14ac:dyDescent="0.35">
      <c r="A35" s="53">
        <v>501</v>
      </c>
      <c r="B35" s="53" t="s">
        <v>8</v>
      </c>
      <c r="C35" s="53" t="s">
        <v>31</v>
      </c>
      <c r="D35" s="53" t="s">
        <v>21</v>
      </c>
      <c r="E35" s="53" t="s">
        <v>26</v>
      </c>
      <c r="F35" s="54">
        <v>29164.2</v>
      </c>
      <c r="G35" s="53">
        <v>50387</v>
      </c>
      <c r="H35" s="53">
        <v>15741</v>
      </c>
      <c r="I35" s="53">
        <v>1282</v>
      </c>
      <c r="J35" s="54">
        <v>25081.212</v>
      </c>
      <c r="K35" s="55">
        <f t="shared" si="0"/>
        <v>-0.14000000000000004</v>
      </c>
      <c r="L35" s="56" t="str">
        <f t="shared" si="1"/>
        <v/>
      </c>
      <c r="M35" s="56">
        <f t="shared" si="2"/>
        <v>-0.14000000000000004</v>
      </c>
      <c r="N35" s="56" t="str">
        <f t="shared" si="3"/>
        <v>OK</v>
      </c>
      <c r="O35" s="2"/>
      <c r="P35" s="27"/>
      <c r="Q35" s="2"/>
      <c r="R35" s="2"/>
    </row>
    <row r="36" spans="1:18" x14ac:dyDescent="0.35">
      <c r="A36" s="57">
        <v>698</v>
      </c>
      <c r="B36" s="57" t="s">
        <v>14</v>
      </c>
      <c r="C36" s="57" t="s">
        <v>32</v>
      </c>
      <c r="D36" s="57" t="s">
        <v>22</v>
      </c>
      <c r="E36" s="57" t="s">
        <v>24</v>
      </c>
      <c r="F36" s="58">
        <v>32369.72</v>
      </c>
      <c r="G36" s="57">
        <v>546644</v>
      </c>
      <c r="H36" s="57">
        <v>18248</v>
      </c>
      <c r="I36" s="57">
        <v>1515</v>
      </c>
      <c r="J36" s="58">
        <v>27837.959200000001</v>
      </c>
      <c r="K36" s="55">
        <f t="shared" si="0"/>
        <v>-0.13999999999999999</v>
      </c>
      <c r="L36" s="56">
        <f t="shared" si="1"/>
        <v>-0.13999999999999999</v>
      </c>
      <c r="M36" s="56" t="str">
        <f t="shared" si="2"/>
        <v/>
      </c>
      <c r="N36" s="56" t="str">
        <f t="shared" si="3"/>
        <v>OK</v>
      </c>
      <c r="O36" s="2"/>
      <c r="P36" s="27"/>
      <c r="Q36" s="2"/>
      <c r="R36" s="2"/>
    </row>
    <row r="37" spans="1:18" x14ac:dyDescent="0.35">
      <c r="A37" s="53">
        <v>83</v>
      </c>
      <c r="B37" s="53" t="s">
        <v>15</v>
      </c>
      <c r="C37" s="53" t="s">
        <v>32</v>
      </c>
      <c r="D37" s="53" t="s">
        <v>19</v>
      </c>
      <c r="E37" s="53" t="s">
        <v>27</v>
      </c>
      <c r="F37" s="54">
        <v>33220.46</v>
      </c>
      <c r="G37" s="53">
        <v>433177</v>
      </c>
      <c r="H37" s="53">
        <v>17958</v>
      </c>
      <c r="I37" s="53">
        <v>1843</v>
      </c>
      <c r="J37" s="54">
        <v>28569.595600000001</v>
      </c>
      <c r="K37" s="55">
        <f t="shared" si="0"/>
        <v>-0.13999999999999996</v>
      </c>
      <c r="L37" s="56">
        <f t="shared" si="1"/>
        <v>-0.13999999999999996</v>
      </c>
      <c r="M37" s="56" t="str">
        <f t="shared" si="2"/>
        <v/>
      </c>
      <c r="N37" s="56" t="str">
        <f t="shared" si="3"/>
        <v>OK</v>
      </c>
      <c r="O37" s="2"/>
      <c r="P37" s="27"/>
      <c r="Q37" s="2"/>
      <c r="R37" s="2"/>
    </row>
    <row r="38" spans="1:18" x14ac:dyDescent="0.35">
      <c r="A38" s="57">
        <v>466</v>
      </c>
      <c r="B38" s="57" t="s">
        <v>8</v>
      </c>
      <c r="C38" s="57" t="s">
        <v>31</v>
      </c>
      <c r="D38" s="57" t="s">
        <v>17</v>
      </c>
      <c r="E38" s="57" t="s">
        <v>24</v>
      </c>
      <c r="F38" s="58">
        <v>24171.96</v>
      </c>
      <c r="G38" s="57">
        <v>332854</v>
      </c>
      <c r="H38" s="57">
        <v>4991</v>
      </c>
      <c r="I38" s="57">
        <v>1879</v>
      </c>
      <c r="J38" s="58">
        <v>20787.885600000001</v>
      </c>
      <c r="K38" s="55">
        <f t="shared" si="0"/>
        <v>-0.1399999999999999</v>
      </c>
      <c r="L38" s="56" t="str">
        <f t="shared" si="1"/>
        <v/>
      </c>
      <c r="M38" s="56">
        <f t="shared" si="2"/>
        <v>-0.1399999999999999</v>
      </c>
      <c r="N38" s="56" t="str">
        <f t="shared" si="3"/>
        <v>OK</v>
      </c>
      <c r="O38" s="2"/>
      <c r="P38" s="27"/>
      <c r="Q38" s="2"/>
      <c r="R38" s="2"/>
    </row>
    <row r="39" spans="1:18" x14ac:dyDescent="0.35">
      <c r="A39" s="53">
        <v>519</v>
      </c>
      <c r="B39" s="53" t="s">
        <v>13</v>
      </c>
      <c r="C39" s="53" t="s">
        <v>32</v>
      </c>
      <c r="D39" s="53" t="s">
        <v>22</v>
      </c>
      <c r="E39" s="53" t="s">
        <v>24</v>
      </c>
      <c r="F39" s="54">
        <v>1103.0899999999999</v>
      </c>
      <c r="G39" s="53">
        <v>784168</v>
      </c>
      <c r="H39" s="53">
        <v>6689</v>
      </c>
      <c r="I39" s="53">
        <v>859</v>
      </c>
      <c r="J39" s="54">
        <v>948.65740000000005</v>
      </c>
      <c r="K39" s="55">
        <f t="shared" si="0"/>
        <v>-0.1399999999999999</v>
      </c>
      <c r="L39" s="56">
        <f t="shared" si="1"/>
        <v>-0.1399999999999999</v>
      </c>
      <c r="M39" s="56" t="str">
        <f t="shared" si="2"/>
        <v/>
      </c>
      <c r="N39" s="56" t="str">
        <f t="shared" si="3"/>
        <v>OK</v>
      </c>
      <c r="O39" s="2"/>
      <c r="P39" s="27"/>
      <c r="Q39" s="2"/>
      <c r="R39" s="2"/>
    </row>
    <row r="40" spans="1:18" x14ac:dyDescent="0.35">
      <c r="A40" s="57">
        <v>128</v>
      </c>
      <c r="B40" s="57" t="s">
        <v>11</v>
      </c>
      <c r="C40" s="57" t="s">
        <v>32</v>
      </c>
      <c r="D40" s="57" t="s">
        <v>17</v>
      </c>
      <c r="E40" s="57" t="s">
        <v>28</v>
      </c>
      <c r="F40" s="58">
        <v>16783.29</v>
      </c>
      <c r="G40" s="57">
        <v>292844</v>
      </c>
      <c r="H40" s="57">
        <v>19071</v>
      </c>
      <c r="I40" s="57">
        <v>272</v>
      </c>
      <c r="J40" s="58">
        <v>14601.462299999999</v>
      </c>
      <c r="K40" s="55">
        <f t="shared" si="0"/>
        <v>-0.13000000000000009</v>
      </c>
      <c r="L40" s="56">
        <f t="shared" si="1"/>
        <v>-0.13000000000000009</v>
      </c>
      <c r="M40" s="56" t="str">
        <f t="shared" si="2"/>
        <v/>
      </c>
      <c r="N40" s="56" t="str">
        <f t="shared" si="3"/>
        <v>OK</v>
      </c>
      <c r="O40" s="2"/>
      <c r="P40" s="27"/>
      <c r="Q40" s="2"/>
      <c r="R40" s="2"/>
    </row>
    <row r="41" spans="1:18" x14ac:dyDescent="0.35">
      <c r="A41" s="53">
        <v>393</v>
      </c>
      <c r="B41" s="53" t="s">
        <v>13</v>
      </c>
      <c r="C41" s="53" t="s">
        <v>32</v>
      </c>
      <c r="D41" s="53" t="s">
        <v>22</v>
      </c>
      <c r="E41" s="53" t="s">
        <v>28</v>
      </c>
      <c r="F41" s="54">
        <v>1882</v>
      </c>
      <c r="G41" s="53">
        <v>498765</v>
      </c>
      <c r="H41" s="53">
        <v>2928</v>
      </c>
      <c r="I41" s="53">
        <v>1086</v>
      </c>
      <c r="J41" s="54">
        <v>1637.34</v>
      </c>
      <c r="K41" s="55">
        <f t="shared" si="0"/>
        <v>-0.13000000000000003</v>
      </c>
      <c r="L41" s="56">
        <f t="shared" si="1"/>
        <v>-0.13000000000000003</v>
      </c>
      <c r="M41" s="56" t="str">
        <f t="shared" si="2"/>
        <v/>
      </c>
      <c r="N41" s="56" t="str">
        <f t="shared" si="3"/>
        <v>OK</v>
      </c>
      <c r="O41" s="2"/>
      <c r="P41" s="27"/>
      <c r="Q41" s="2"/>
      <c r="R41" s="2"/>
    </row>
    <row r="42" spans="1:18" x14ac:dyDescent="0.35">
      <c r="A42" s="57">
        <v>844</v>
      </c>
      <c r="B42" s="57" t="s">
        <v>8</v>
      </c>
      <c r="C42" s="57" t="s">
        <v>31</v>
      </c>
      <c r="D42" s="57" t="s">
        <v>18</v>
      </c>
      <c r="E42" s="57" t="s">
        <v>25</v>
      </c>
      <c r="F42" s="58">
        <v>43088.88</v>
      </c>
      <c r="G42" s="57">
        <v>121718</v>
      </c>
      <c r="H42" s="57">
        <v>3848</v>
      </c>
      <c r="I42" s="57">
        <v>334</v>
      </c>
      <c r="J42" s="58">
        <v>37487.325599999996</v>
      </c>
      <c r="K42" s="55">
        <f t="shared" si="0"/>
        <v>-0.13000000000000003</v>
      </c>
      <c r="L42" s="56" t="str">
        <f t="shared" si="1"/>
        <v/>
      </c>
      <c r="M42" s="56">
        <f t="shared" si="2"/>
        <v>-0.13000000000000003</v>
      </c>
      <c r="N42" s="56" t="str">
        <f t="shared" si="3"/>
        <v>OK</v>
      </c>
      <c r="O42" s="2"/>
      <c r="P42" s="27"/>
      <c r="Q42" s="2"/>
      <c r="R42" s="2"/>
    </row>
    <row r="43" spans="1:18" x14ac:dyDescent="0.35">
      <c r="A43" s="53">
        <v>273</v>
      </c>
      <c r="B43" s="53" t="s">
        <v>13</v>
      </c>
      <c r="C43" s="53" t="s">
        <v>32</v>
      </c>
      <c r="D43" s="53" t="s">
        <v>21</v>
      </c>
      <c r="E43" s="53" t="s">
        <v>27</v>
      </c>
      <c r="F43" s="54">
        <v>17839.5</v>
      </c>
      <c r="G43" s="53">
        <v>960438</v>
      </c>
      <c r="H43" s="53">
        <v>5020</v>
      </c>
      <c r="I43" s="53">
        <v>313</v>
      </c>
      <c r="J43" s="54">
        <v>15520.365</v>
      </c>
      <c r="K43" s="55">
        <f t="shared" si="0"/>
        <v>-0.13</v>
      </c>
      <c r="L43" s="56">
        <f t="shared" si="1"/>
        <v>-0.13</v>
      </c>
      <c r="M43" s="56" t="str">
        <f t="shared" si="2"/>
        <v/>
      </c>
      <c r="N43" s="56" t="str">
        <f t="shared" si="3"/>
        <v>OK</v>
      </c>
      <c r="O43" s="2"/>
      <c r="P43" s="27"/>
      <c r="Q43" s="2"/>
      <c r="R43" s="2"/>
    </row>
    <row r="44" spans="1:18" x14ac:dyDescent="0.35">
      <c r="A44" s="57">
        <v>742</v>
      </c>
      <c r="B44" s="57" t="s">
        <v>10</v>
      </c>
      <c r="C44" s="57" t="s">
        <v>31</v>
      </c>
      <c r="D44" s="57" t="s">
        <v>17</v>
      </c>
      <c r="E44" s="57" t="s">
        <v>25</v>
      </c>
      <c r="F44" s="58">
        <v>31972.400000000001</v>
      </c>
      <c r="G44" s="57">
        <v>532710</v>
      </c>
      <c r="H44" s="57">
        <v>2515</v>
      </c>
      <c r="I44" s="57">
        <v>1789</v>
      </c>
      <c r="J44" s="58">
        <v>28135.712</v>
      </c>
      <c r="K44" s="55">
        <f t="shared" si="0"/>
        <v>-0.12000000000000005</v>
      </c>
      <c r="L44" s="56" t="str">
        <f t="shared" si="1"/>
        <v/>
      </c>
      <c r="M44" s="56">
        <f t="shared" si="2"/>
        <v>-0.12000000000000005</v>
      </c>
      <c r="N44" s="56" t="str">
        <f t="shared" si="3"/>
        <v>OK</v>
      </c>
      <c r="O44" s="2"/>
      <c r="P44" s="27"/>
      <c r="Q44" s="2"/>
      <c r="R44" s="2"/>
    </row>
    <row r="45" spans="1:18" x14ac:dyDescent="0.35">
      <c r="A45" s="53">
        <v>527</v>
      </c>
      <c r="B45" s="53" t="s">
        <v>9</v>
      </c>
      <c r="C45" s="53" t="s">
        <v>31</v>
      </c>
      <c r="D45" s="53" t="s">
        <v>18</v>
      </c>
      <c r="E45" s="53" t="s">
        <v>25</v>
      </c>
      <c r="F45" s="54">
        <v>33470.559999999998</v>
      </c>
      <c r="G45" s="53">
        <v>263091</v>
      </c>
      <c r="H45" s="53">
        <v>17458</v>
      </c>
      <c r="I45" s="53">
        <v>982</v>
      </c>
      <c r="J45" s="54">
        <v>29454.092799999999</v>
      </c>
      <c r="K45" s="55">
        <f t="shared" si="0"/>
        <v>-0.11999999999999998</v>
      </c>
      <c r="L45" s="56" t="str">
        <f t="shared" si="1"/>
        <v/>
      </c>
      <c r="M45" s="56">
        <f t="shared" si="2"/>
        <v>-0.11999999999999998</v>
      </c>
      <c r="N45" s="56" t="str">
        <f t="shared" si="3"/>
        <v>OK</v>
      </c>
      <c r="O45" s="2"/>
      <c r="P45" s="27"/>
      <c r="Q45" s="2"/>
      <c r="R45" s="2"/>
    </row>
    <row r="46" spans="1:18" x14ac:dyDescent="0.35">
      <c r="A46" s="57">
        <v>394</v>
      </c>
      <c r="B46" s="57" t="s">
        <v>13</v>
      </c>
      <c r="C46" s="57" t="s">
        <v>32</v>
      </c>
      <c r="D46" s="57" t="s">
        <v>21</v>
      </c>
      <c r="E46" s="57" t="s">
        <v>29</v>
      </c>
      <c r="F46" s="58">
        <v>21650.76</v>
      </c>
      <c r="G46" s="57">
        <v>780097</v>
      </c>
      <c r="H46" s="57">
        <v>15096</v>
      </c>
      <c r="I46" s="57">
        <v>489</v>
      </c>
      <c r="J46" s="58">
        <v>19052.668799999999</v>
      </c>
      <c r="K46" s="55">
        <f t="shared" si="0"/>
        <v>-0.11999999999999995</v>
      </c>
      <c r="L46" s="56">
        <f t="shared" si="1"/>
        <v>-0.11999999999999995</v>
      </c>
      <c r="M46" s="56" t="str">
        <f t="shared" si="2"/>
        <v/>
      </c>
      <c r="N46" s="56" t="str">
        <f t="shared" si="3"/>
        <v>OK</v>
      </c>
      <c r="O46" s="2"/>
      <c r="P46" s="27"/>
      <c r="Q46" s="2"/>
      <c r="R46" s="2"/>
    </row>
    <row r="47" spans="1:18" x14ac:dyDescent="0.35">
      <c r="A47" s="53">
        <v>37</v>
      </c>
      <c r="B47" s="53" t="s">
        <v>12</v>
      </c>
      <c r="C47" s="53" t="s">
        <v>32</v>
      </c>
      <c r="D47" s="53" t="s">
        <v>21</v>
      </c>
      <c r="E47" s="53" t="s">
        <v>26</v>
      </c>
      <c r="F47" s="54">
        <v>34123.129999999997</v>
      </c>
      <c r="G47" s="53">
        <v>489083</v>
      </c>
      <c r="H47" s="53">
        <v>1022</v>
      </c>
      <c r="I47" s="53">
        <v>1470</v>
      </c>
      <c r="J47" s="54">
        <v>30028.3544</v>
      </c>
      <c r="K47" s="55">
        <f t="shared" si="0"/>
        <v>-0.11999999999999993</v>
      </c>
      <c r="L47" s="56">
        <f t="shared" si="1"/>
        <v>-0.11999999999999993</v>
      </c>
      <c r="M47" s="56" t="str">
        <f t="shared" si="2"/>
        <v/>
      </c>
      <c r="N47" s="56" t="str">
        <f t="shared" si="3"/>
        <v>ERROR: Conversions &gt; Clicks</v>
      </c>
      <c r="O47" s="2"/>
      <c r="P47" s="27"/>
      <c r="Q47" s="2"/>
      <c r="R47" s="2"/>
    </row>
    <row r="48" spans="1:18" x14ac:dyDescent="0.35">
      <c r="A48" s="57">
        <v>618</v>
      </c>
      <c r="B48" s="57" t="s">
        <v>13</v>
      </c>
      <c r="C48" s="57" t="s">
        <v>32</v>
      </c>
      <c r="D48" s="57" t="s">
        <v>19</v>
      </c>
      <c r="E48" s="57" t="s">
        <v>26</v>
      </c>
      <c r="F48" s="58">
        <v>19365.37</v>
      </c>
      <c r="G48" s="57">
        <v>92409</v>
      </c>
      <c r="H48" s="57">
        <v>9703</v>
      </c>
      <c r="I48" s="57">
        <v>322</v>
      </c>
      <c r="J48" s="58">
        <v>17041.525600000001</v>
      </c>
      <c r="K48" s="55">
        <f t="shared" si="0"/>
        <v>-0.11999999999999991</v>
      </c>
      <c r="L48" s="56">
        <f t="shared" si="1"/>
        <v>-0.11999999999999991</v>
      </c>
      <c r="M48" s="56" t="str">
        <f t="shared" si="2"/>
        <v/>
      </c>
      <c r="N48" s="56" t="str">
        <f t="shared" si="3"/>
        <v>OK</v>
      </c>
      <c r="O48" s="2"/>
      <c r="P48" s="27"/>
      <c r="Q48" s="2"/>
      <c r="R48" s="2"/>
    </row>
    <row r="49" spans="1:18" x14ac:dyDescent="0.35">
      <c r="A49" s="53">
        <v>607</v>
      </c>
      <c r="B49" s="53" t="s">
        <v>8</v>
      </c>
      <c r="C49" s="53" t="s">
        <v>31</v>
      </c>
      <c r="D49" s="53" t="s">
        <v>17</v>
      </c>
      <c r="E49" s="53" t="s">
        <v>24</v>
      </c>
      <c r="F49" s="54">
        <v>5865.81</v>
      </c>
      <c r="G49" s="53">
        <v>287068</v>
      </c>
      <c r="H49" s="53">
        <v>1115</v>
      </c>
      <c r="I49" s="53">
        <v>1908</v>
      </c>
      <c r="J49" s="54">
        <v>5220.5708999999997</v>
      </c>
      <c r="K49" s="55">
        <f t="shared" si="0"/>
        <v>-0.11000000000000011</v>
      </c>
      <c r="L49" s="56" t="str">
        <f t="shared" si="1"/>
        <v/>
      </c>
      <c r="M49" s="56">
        <f t="shared" si="2"/>
        <v>-0.11000000000000011</v>
      </c>
      <c r="N49" s="56" t="str">
        <f t="shared" si="3"/>
        <v>ERROR: Conversions &gt; Clicks</v>
      </c>
      <c r="O49" s="2"/>
      <c r="P49" s="27"/>
      <c r="Q49" s="2"/>
      <c r="R49" s="2"/>
    </row>
    <row r="50" spans="1:18" x14ac:dyDescent="0.35">
      <c r="A50" s="57">
        <v>810</v>
      </c>
      <c r="B50" s="57" t="s">
        <v>15</v>
      </c>
      <c r="C50" s="57" t="s">
        <v>32</v>
      </c>
      <c r="D50" s="57" t="s">
        <v>17</v>
      </c>
      <c r="E50" s="57" t="s">
        <v>29</v>
      </c>
      <c r="F50" s="58">
        <v>29018.65</v>
      </c>
      <c r="G50" s="57">
        <v>614489</v>
      </c>
      <c r="H50" s="57">
        <v>12305</v>
      </c>
      <c r="I50" s="57">
        <v>1865</v>
      </c>
      <c r="J50" s="58">
        <v>25826.5985</v>
      </c>
      <c r="K50" s="55">
        <f t="shared" si="0"/>
        <v>-0.11000000000000004</v>
      </c>
      <c r="L50" s="56">
        <f t="shared" si="1"/>
        <v>-0.11000000000000004</v>
      </c>
      <c r="M50" s="56" t="str">
        <f t="shared" si="2"/>
        <v/>
      </c>
      <c r="N50" s="56" t="str">
        <f t="shared" si="3"/>
        <v>OK</v>
      </c>
      <c r="O50" s="2"/>
      <c r="P50" s="27"/>
      <c r="Q50" s="2"/>
      <c r="R50" s="2"/>
    </row>
    <row r="51" spans="1:18" x14ac:dyDescent="0.35">
      <c r="A51" s="53">
        <v>303</v>
      </c>
      <c r="B51" s="53" t="s">
        <v>9</v>
      </c>
      <c r="C51" s="53" t="s">
        <v>31</v>
      </c>
      <c r="D51" s="53" t="s">
        <v>22</v>
      </c>
      <c r="E51" s="53" t="s">
        <v>24</v>
      </c>
      <c r="F51" s="54">
        <v>18820.96</v>
      </c>
      <c r="G51" s="53">
        <v>322863</v>
      </c>
      <c r="H51" s="53">
        <v>286</v>
      </c>
      <c r="I51" s="53">
        <v>1077</v>
      </c>
      <c r="J51" s="54">
        <v>16750.654399999999</v>
      </c>
      <c r="K51" s="55">
        <f t="shared" si="0"/>
        <v>-0.10999999999999999</v>
      </c>
      <c r="L51" s="56" t="str">
        <f t="shared" si="1"/>
        <v/>
      </c>
      <c r="M51" s="56">
        <f t="shared" si="2"/>
        <v>-0.10999999999999999</v>
      </c>
      <c r="N51" s="56" t="str">
        <f t="shared" si="3"/>
        <v>ERROR: Conversions &gt; Clicks</v>
      </c>
      <c r="O51" s="2"/>
      <c r="P51" s="27"/>
      <c r="Q51" s="2"/>
      <c r="R51" s="2"/>
    </row>
    <row r="52" spans="1:18" x14ac:dyDescent="0.35">
      <c r="A52" s="57">
        <v>248</v>
      </c>
      <c r="B52" s="57" t="s">
        <v>11</v>
      </c>
      <c r="C52" s="57" t="s">
        <v>32</v>
      </c>
      <c r="D52" s="57" t="s">
        <v>17</v>
      </c>
      <c r="E52" s="57" t="s">
        <v>26</v>
      </c>
      <c r="F52" s="58">
        <v>23547.95</v>
      </c>
      <c r="G52" s="57">
        <v>305064</v>
      </c>
      <c r="H52" s="57">
        <v>18363</v>
      </c>
      <c r="I52" s="57">
        <v>1798</v>
      </c>
      <c r="J52" s="58">
        <v>20957.675500000001</v>
      </c>
      <c r="K52" s="55">
        <f t="shared" si="0"/>
        <v>-0.10999999999999997</v>
      </c>
      <c r="L52" s="56">
        <f t="shared" si="1"/>
        <v>-0.10999999999999997</v>
      </c>
      <c r="M52" s="56" t="str">
        <f t="shared" si="2"/>
        <v/>
      </c>
      <c r="N52" s="56" t="str">
        <f t="shared" si="3"/>
        <v>OK</v>
      </c>
      <c r="O52" s="2"/>
      <c r="P52" s="27"/>
      <c r="Q52" s="2"/>
      <c r="R52" s="2"/>
    </row>
    <row r="53" spans="1:18" x14ac:dyDescent="0.35">
      <c r="A53" s="53">
        <v>639</v>
      </c>
      <c r="B53" s="53" t="s">
        <v>14</v>
      </c>
      <c r="C53" s="53" t="s">
        <v>32</v>
      </c>
      <c r="D53" s="53" t="s">
        <v>20</v>
      </c>
      <c r="E53" s="53" t="s">
        <v>25</v>
      </c>
      <c r="F53" s="54">
        <v>25864.87</v>
      </c>
      <c r="G53" s="53">
        <v>407674</v>
      </c>
      <c r="H53" s="53">
        <v>5284</v>
      </c>
      <c r="I53" s="53">
        <v>254</v>
      </c>
      <c r="J53" s="54">
        <v>23019.7343</v>
      </c>
      <c r="K53" s="55">
        <f t="shared" si="0"/>
        <v>-0.10999999999999996</v>
      </c>
      <c r="L53" s="56">
        <f t="shared" si="1"/>
        <v>-0.10999999999999996</v>
      </c>
      <c r="M53" s="56" t="str">
        <f t="shared" si="2"/>
        <v/>
      </c>
      <c r="N53" s="56" t="str">
        <f t="shared" si="3"/>
        <v>OK</v>
      </c>
      <c r="O53" s="2"/>
      <c r="P53" s="27"/>
      <c r="Q53" s="2"/>
      <c r="R53" s="2"/>
    </row>
    <row r="54" spans="1:18" x14ac:dyDescent="0.35">
      <c r="A54" s="53">
        <v>681</v>
      </c>
      <c r="B54" s="53" t="s">
        <v>13</v>
      </c>
      <c r="C54" s="53" t="s">
        <v>32</v>
      </c>
      <c r="D54" s="53" t="s">
        <v>21</v>
      </c>
      <c r="E54" s="53" t="s">
        <v>28</v>
      </c>
      <c r="F54" s="54">
        <v>26599.759999999998</v>
      </c>
      <c r="G54" s="53">
        <v>285796</v>
      </c>
      <c r="H54" s="53">
        <v>4366</v>
      </c>
      <c r="I54" s="53">
        <v>1564</v>
      </c>
      <c r="J54" s="54">
        <v>23673.786400000001</v>
      </c>
      <c r="K54" s="55">
        <f t="shared" si="0"/>
        <v>-0.10999999999999992</v>
      </c>
      <c r="L54" s="56">
        <f t="shared" si="1"/>
        <v>-0.10999999999999992</v>
      </c>
      <c r="M54" s="56" t="str">
        <f t="shared" si="2"/>
        <v/>
      </c>
      <c r="N54" s="56" t="str">
        <f t="shared" si="3"/>
        <v>OK</v>
      </c>
      <c r="O54" s="2"/>
      <c r="P54" s="27"/>
      <c r="Q54" s="2"/>
      <c r="R54" s="2"/>
    </row>
    <row r="55" spans="1:18" x14ac:dyDescent="0.35">
      <c r="A55" s="57">
        <v>832</v>
      </c>
      <c r="B55" s="57" t="s">
        <v>15</v>
      </c>
      <c r="C55" s="57" t="s">
        <v>32</v>
      </c>
      <c r="D55" s="57" t="s">
        <v>20</v>
      </c>
      <c r="E55" s="57" t="s">
        <v>28</v>
      </c>
      <c r="F55" s="58">
        <v>24294.92</v>
      </c>
      <c r="G55" s="57">
        <v>94607</v>
      </c>
      <c r="H55" s="57">
        <v>13228</v>
      </c>
      <c r="I55" s="57">
        <v>741</v>
      </c>
      <c r="J55" s="58">
        <v>21622.478800000001</v>
      </c>
      <c r="K55" s="55">
        <f t="shared" si="0"/>
        <v>-0.1099999999999999</v>
      </c>
      <c r="L55" s="56">
        <f t="shared" si="1"/>
        <v>-0.1099999999999999</v>
      </c>
      <c r="M55" s="56" t="str">
        <f t="shared" si="2"/>
        <v/>
      </c>
      <c r="N55" s="56" t="str">
        <f t="shared" si="3"/>
        <v>OK</v>
      </c>
      <c r="O55" s="2"/>
      <c r="P55" s="27"/>
      <c r="Q55" s="2"/>
      <c r="R55" s="2"/>
    </row>
    <row r="56" spans="1:18" x14ac:dyDescent="0.35">
      <c r="A56" s="53">
        <v>107</v>
      </c>
      <c r="B56" s="53" t="s">
        <v>10</v>
      </c>
      <c r="C56" s="53" t="s">
        <v>31</v>
      </c>
      <c r="D56" s="53" t="s">
        <v>21</v>
      </c>
      <c r="E56" s="53" t="s">
        <v>27</v>
      </c>
      <c r="F56" s="54">
        <v>11643.25</v>
      </c>
      <c r="G56" s="53">
        <v>267906</v>
      </c>
      <c r="H56" s="53">
        <v>17742</v>
      </c>
      <c r="I56" s="53">
        <v>815</v>
      </c>
      <c r="J56" s="54">
        <v>10478.924999999999</v>
      </c>
      <c r="K56" s="55">
        <f t="shared" si="0"/>
        <v>-0.10000000000000006</v>
      </c>
      <c r="L56" s="56" t="str">
        <f t="shared" si="1"/>
        <v/>
      </c>
      <c r="M56" s="56">
        <f t="shared" si="2"/>
        <v>-0.10000000000000006</v>
      </c>
      <c r="N56" s="56" t="str">
        <f t="shared" si="3"/>
        <v>OK</v>
      </c>
      <c r="O56" s="2"/>
      <c r="P56" s="27"/>
      <c r="Q56" s="2"/>
      <c r="R56" s="2"/>
    </row>
    <row r="57" spans="1:18" x14ac:dyDescent="0.35">
      <c r="A57" s="53">
        <v>685</v>
      </c>
      <c r="B57" s="53" t="s">
        <v>11</v>
      </c>
      <c r="C57" s="53" t="s">
        <v>32</v>
      </c>
      <c r="D57" s="53" t="s">
        <v>18</v>
      </c>
      <c r="E57" s="53" t="s">
        <v>26</v>
      </c>
      <c r="F57" s="54">
        <v>46018</v>
      </c>
      <c r="G57" s="53">
        <v>634624</v>
      </c>
      <c r="H57" s="53">
        <v>1757</v>
      </c>
      <c r="I57" s="53">
        <v>1917</v>
      </c>
      <c r="J57" s="54">
        <v>41416.199999999997</v>
      </c>
      <c r="K57" s="55">
        <f t="shared" si="0"/>
        <v>-0.10000000000000006</v>
      </c>
      <c r="L57" s="56">
        <f t="shared" si="1"/>
        <v>-0.10000000000000006</v>
      </c>
      <c r="M57" s="56" t="str">
        <f t="shared" si="2"/>
        <v/>
      </c>
      <c r="N57" s="56" t="str">
        <f t="shared" si="3"/>
        <v>ERROR: Conversions &gt; Clicks</v>
      </c>
      <c r="O57" s="2"/>
      <c r="P57" s="27"/>
      <c r="Q57" s="2"/>
      <c r="R57" s="2"/>
    </row>
    <row r="58" spans="1:18" x14ac:dyDescent="0.35">
      <c r="A58" s="53">
        <v>925</v>
      </c>
      <c r="B58" s="53" t="s">
        <v>11</v>
      </c>
      <c r="C58" s="53" t="s">
        <v>32</v>
      </c>
      <c r="D58" s="53" t="s">
        <v>20</v>
      </c>
      <c r="E58" s="53" t="s">
        <v>26</v>
      </c>
      <c r="F58" s="54">
        <v>12718.78</v>
      </c>
      <c r="G58" s="53">
        <v>613986</v>
      </c>
      <c r="H58" s="53">
        <v>12588</v>
      </c>
      <c r="I58" s="53">
        <v>1904</v>
      </c>
      <c r="J58" s="54">
        <v>11446.902</v>
      </c>
      <c r="K58" s="55">
        <f t="shared" si="0"/>
        <v>-0.10000000000000005</v>
      </c>
      <c r="L58" s="56">
        <f t="shared" si="1"/>
        <v>-0.10000000000000005</v>
      </c>
      <c r="M58" s="56" t="str">
        <f t="shared" si="2"/>
        <v/>
      </c>
      <c r="N58" s="56" t="str">
        <f t="shared" si="3"/>
        <v>OK</v>
      </c>
      <c r="O58" s="2"/>
      <c r="P58" s="27"/>
      <c r="Q58" s="2"/>
      <c r="R58" s="2"/>
    </row>
    <row r="59" spans="1:18" x14ac:dyDescent="0.35">
      <c r="A59" s="57">
        <v>14</v>
      </c>
      <c r="B59" s="57" t="s">
        <v>9</v>
      </c>
      <c r="C59" s="57" t="s">
        <v>31</v>
      </c>
      <c r="D59" s="57" t="s">
        <v>22</v>
      </c>
      <c r="E59" s="57" t="s">
        <v>24</v>
      </c>
      <c r="F59" s="58">
        <v>4393.46</v>
      </c>
      <c r="G59" s="57">
        <v>880820</v>
      </c>
      <c r="H59" s="57">
        <v>8941</v>
      </c>
      <c r="I59" s="57">
        <v>1634</v>
      </c>
      <c r="J59" s="58">
        <v>3954.114</v>
      </c>
      <c r="K59" s="55">
        <f t="shared" si="0"/>
        <v>-0.1</v>
      </c>
      <c r="L59" s="56" t="str">
        <f t="shared" si="1"/>
        <v/>
      </c>
      <c r="M59" s="56">
        <f t="shared" si="2"/>
        <v>-0.1</v>
      </c>
      <c r="N59" s="56" t="str">
        <f t="shared" si="3"/>
        <v>OK</v>
      </c>
      <c r="O59" s="2"/>
      <c r="P59" s="27"/>
      <c r="Q59" s="2"/>
      <c r="R59" s="2"/>
    </row>
    <row r="60" spans="1:18" x14ac:dyDescent="0.35">
      <c r="A60" s="53">
        <v>357</v>
      </c>
      <c r="B60" s="53" t="s">
        <v>14</v>
      </c>
      <c r="C60" s="53" t="s">
        <v>32</v>
      </c>
      <c r="D60" s="53" t="s">
        <v>17</v>
      </c>
      <c r="E60" s="53" t="s">
        <v>25</v>
      </c>
      <c r="F60" s="54">
        <v>2524.66</v>
      </c>
      <c r="G60" s="53">
        <v>227400</v>
      </c>
      <c r="H60" s="53">
        <v>436</v>
      </c>
      <c r="I60" s="53">
        <v>731</v>
      </c>
      <c r="J60" s="54">
        <v>2272.194</v>
      </c>
      <c r="K60" s="55">
        <f t="shared" si="0"/>
        <v>-9.9999999999999964E-2</v>
      </c>
      <c r="L60" s="56">
        <f t="shared" si="1"/>
        <v>-9.9999999999999964E-2</v>
      </c>
      <c r="M60" s="56" t="str">
        <f t="shared" si="2"/>
        <v/>
      </c>
      <c r="N60" s="56" t="str">
        <f t="shared" si="3"/>
        <v>ERROR: Conversions &gt; Clicks</v>
      </c>
      <c r="O60" s="2"/>
      <c r="P60" s="27"/>
      <c r="Q60" s="2"/>
      <c r="R60" s="2"/>
    </row>
    <row r="61" spans="1:18" x14ac:dyDescent="0.35">
      <c r="A61" s="53">
        <v>683</v>
      </c>
      <c r="B61" s="53" t="s">
        <v>8</v>
      </c>
      <c r="C61" s="53" t="s">
        <v>31</v>
      </c>
      <c r="D61" s="53" t="s">
        <v>19</v>
      </c>
      <c r="E61" s="53" t="s">
        <v>29</v>
      </c>
      <c r="F61" s="54">
        <v>22619.96</v>
      </c>
      <c r="G61" s="53">
        <v>297644</v>
      </c>
      <c r="H61" s="53">
        <v>19194</v>
      </c>
      <c r="I61" s="53">
        <v>1993</v>
      </c>
      <c r="J61" s="54">
        <v>20357.964</v>
      </c>
      <c r="K61" s="55">
        <f t="shared" si="0"/>
        <v>-9.9999999999999964E-2</v>
      </c>
      <c r="L61" s="56" t="str">
        <f t="shared" si="1"/>
        <v/>
      </c>
      <c r="M61" s="56">
        <f t="shared" si="2"/>
        <v>-9.9999999999999964E-2</v>
      </c>
      <c r="N61" s="56" t="str">
        <f t="shared" si="3"/>
        <v>OK</v>
      </c>
      <c r="O61" s="2"/>
      <c r="P61" s="27"/>
      <c r="Q61" s="2"/>
      <c r="R61" s="2"/>
    </row>
    <row r="62" spans="1:18" x14ac:dyDescent="0.35">
      <c r="A62" s="53">
        <v>637</v>
      </c>
      <c r="B62" s="53" t="s">
        <v>11</v>
      </c>
      <c r="C62" s="53" t="s">
        <v>32</v>
      </c>
      <c r="D62" s="53" t="s">
        <v>22</v>
      </c>
      <c r="E62" s="53" t="s">
        <v>29</v>
      </c>
      <c r="F62" s="54">
        <v>35741.67</v>
      </c>
      <c r="G62" s="53">
        <v>526540</v>
      </c>
      <c r="H62" s="53">
        <v>14798</v>
      </c>
      <c r="I62" s="53">
        <v>1380</v>
      </c>
      <c r="J62" s="54">
        <v>32167.503000000001</v>
      </c>
      <c r="K62" s="55">
        <f t="shared" si="0"/>
        <v>-9.9999999999999936E-2</v>
      </c>
      <c r="L62" s="56">
        <f t="shared" si="1"/>
        <v>-9.9999999999999936E-2</v>
      </c>
      <c r="M62" s="56" t="str">
        <f t="shared" si="2"/>
        <v/>
      </c>
      <c r="N62" s="56" t="str">
        <f t="shared" si="3"/>
        <v>OK</v>
      </c>
      <c r="O62" s="2"/>
      <c r="P62" s="27"/>
      <c r="Q62" s="2"/>
      <c r="R62" s="2"/>
    </row>
    <row r="63" spans="1:18" x14ac:dyDescent="0.35">
      <c r="A63" s="53">
        <v>277</v>
      </c>
      <c r="B63" s="53" t="s">
        <v>11</v>
      </c>
      <c r="C63" s="53" t="s">
        <v>32</v>
      </c>
      <c r="D63" s="53" t="s">
        <v>18</v>
      </c>
      <c r="E63" s="53" t="s">
        <v>25</v>
      </c>
      <c r="F63" s="54">
        <v>19224.7</v>
      </c>
      <c r="G63" s="53">
        <v>636256</v>
      </c>
      <c r="H63" s="53">
        <v>5308</v>
      </c>
      <c r="I63" s="53">
        <v>1522</v>
      </c>
      <c r="J63" s="54">
        <v>17494.476999999999</v>
      </c>
      <c r="K63" s="55">
        <f t="shared" si="0"/>
        <v>-9.0000000000000094E-2</v>
      </c>
      <c r="L63" s="56">
        <f t="shared" si="1"/>
        <v>-9.0000000000000094E-2</v>
      </c>
      <c r="M63" s="56" t="str">
        <f t="shared" si="2"/>
        <v/>
      </c>
      <c r="N63" s="56" t="str">
        <f t="shared" si="3"/>
        <v>OK</v>
      </c>
      <c r="O63" s="2"/>
      <c r="P63" s="27"/>
      <c r="Q63" s="2"/>
      <c r="R63" s="2"/>
    </row>
    <row r="64" spans="1:18" x14ac:dyDescent="0.35">
      <c r="A64" s="57">
        <v>654</v>
      </c>
      <c r="B64" s="57" t="s">
        <v>15</v>
      </c>
      <c r="C64" s="57" t="s">
        <v>32</v>
      </c>
      <c r="D64" s="57" t="s">
        <v>20</v>
      </c>
      <c r="E64" s="57" t="s">
        <v>29</v>
      </c>
      <c r="F64" s="58">
        <v>39833.550000000003</v>
      </c>
      <c r="G64" s="57">
        <v>354126</v>
      </c>
      <c r="H64" s="57">
        <v>13799</v>
      </c>
      <c r="I64" s="57">
        <v>638</v>
      </c>
      <c r="J64" s="58">
        <v>36248.530500000001</v>
      </c>
      <c r="K64" s="55">
        <f t="shared" si="0"/>
        <v>-9.0000000000000052E-2</v>
      </c>
      <c r="L64" s="56">
        <f t="shared" si="1"/>
        <v>-9.0000000000000052E-2</v>
      </c>
      <c r="M64" s="56" t="str">
        <f t="shared" si="2"/>
        <v/>
      </c>
      <c r="N64" s="56" t="str">
        <f t="shared" si="3"/>
        <v>OK</v>
      </c>
      <c r="O64" s="2"/>
      <c r="P64" s="27"/>
      <c r="Q64" s="2"/>
      <c r="R64" s="2"/>
    </row>
    <row r="65" spans="1:18" x14ac:dyDescent="0.35">
      <c r="A65" s="53">
        <v>451</v>
      </c>
      <c r="B65" s="53" t="s">
        <v>10</v>
      </c>
      <c r="C65" s="53" t="s">
        <v>31</v>
      </c>
      <c r="D65" s="53" t="s">
        <v>19</v>
      </c>
      <c r="E65" s="53" t="s">
        <v>26</v>
      </c>
      <c r="F65" s="54">
        <v>7738.66</v>
      </c>
      <c r="G65" s="53">
        <v>69778</v>
      </c>
      <c r="H65" s="53">
        <v>12325</v>
      </c>
      <c r="I65" s="53">
        <v>275</v>
      </c>
      <c r="J65" s="54">
        <v>7042.1805999999997</v>
      </c>
      <c r="K65" s="55">
        <f t="shared" si="0"/>
        <v>-9.0000000000000024E-2</v>
      </c>
      <c r="L65" s="56" t="str">
        <f t="shared" si="1"/>
        <v/>
      </c>
      <c r="M65" s="56">
        <f t="shared" si="2"/>
        <v>-9.0000000000000024E-2</v>
      </c>
      <c r="N65" s="56" t="str">
        <f t="shared" si="3"/>
        <v>OK</v>
      </c>
      <c r="O65" s="2"/>
      <c r="P65" s="27"/>
      <c r="Q65" s="2"/>
      <c r="R65" s="2"/>
    </row>
    <row r="66" spans="1:18" x14ac:dyDescent="0.35">
      <c r="A66" s="53">
        <v>23</v>
      </c>
      <c r="B66" s="53" t="s">
        <v>14</v>
      </c>
      <c r="C66" s="53" t="s">
        <v>32</v>
      </c>
      <c r="D66" s="53" t="s">
        <v>21</v>
      </c>
      <c r="E66" s="53" t="s">
        <v>28</v>
      </c>
      <c r="F66" s="54">
        <v>46094.559999999998</v>
      </c>
      <c r="G66" s="53">
        <v>663015</v>
      </c>
      <c r="H66" s="53">
        <v>13045</v>
      </c>
      <c r="I66" s="53">
        <v>1968</v>
      </c>
      <c r="J66" s="54">
        <v>41946.049599999998</v>
      </c>
      <c r="K66" s="55">
        <f t="shared" ref="K66:K129" si="4">(J66-F66)/F66</f>
        <v>-8.9999999999999983E-2</v>
      </c>
      <c r="L66" s="56">
        <f t="shared" ref="L66:L129" si="5">IF(C66="Digital",K66,"")</f>
        <v>-8.9999999999999983E-2</v>
      </c>
      <c r="M66" s="56" t="str">
        <f t="shared" ref="M66:M129" si="6">IF(C66="Traditional",K66,"")</f>
        <v/>
      </c>
      <c r="N66" s="56" t="str">
        <f t="shared" ref="N66:N129" si="7">IF(H66&gt;G66,"ERROR: Clicks &gt; Impressions",IF(I66&gt;H66,"ERROR: Conversions &gt; Clicks","OK"))</f>
        <v>OK</v>
      </c>
      <c r="O66" s="2"/>
      <c r="P66" s="27"/>
      <c r="Q66" s="2"/>
      <c r="R66" s="2"/>
    </row>
    <row r="67" spans="1:18" x14ac:dyDescent="0.35">
      <c r="A67" s="57">
        <v>396</v>
      </c>
      <c r="B67" s="57" t="s">
        <v>12</v>
      </c>
      <c r="C67" s="57" t="s">
        <v>32</v>
      </c>
      <c r="D67" s="57" t="s">
        <v>17</v>
      </c>
      <c r="E67" s="57" t="s">
        <v>24</v>
      </c>
      <c r="F67" s="58">
        <v>48345.93</v>
      </c>
      <c r="G67" s="57">
        <v>914680</v>
      </c>
      <c r="H67" s="57">
        <v>13978</v>
      </c>
      <c r="I67" s="57">
        <v>1363</v>
      </c>
      <c r="J67" s="58">
        <v>43994.796300000002</v>
      </c>
      <c r="K67" s="55">
        <f t="shared" si="4"/>
        <v>-8.9999999999999969E-2</v>
      </c>
      <c r="L67" s="56">
        <f t="shared" si="5"/>
        <v>-8.9999999999999969E-2</v>
      </c>
      <c r="M67" s="56" t="str">
        <f t="shared" si="6"/>
        <v/>
      </c>
      <c r="N67" s="56" t="str">
        <f t="shared" si="7"/>
        <v>OK</v>
      </c>
      <c r="O67" s="2"/>
      <c r="P67" s="27"/>
      <c r="Q67" s="2"/>
      <c r="R67" s="2"/>
    </row>
    <row r="68" spans="1:18" x14ac:dyDescent="0.35">
      <c r="A68" s="53">
        <v>907</v>
      </c>
      <c r="B68" s="53" t="s">
        <v>14</v>
      </c>
      <c r="C68" s="53" t="s">
        <v>32</v>
      </c>
      <c r="D68" s="53" t="s">
        <v>18</v>
      </c>
      <c r="E68" s="53" t="s">
        <v>24</v>
      </c>
      <c r="F68" s="54">
        <v>27870.720000000001</v>
      </c>
      <c r="G68" s="53">
        <v>690667</v>
      </c>
      <c r="H68" s="53">
        <v>4973</v>
      </c>
      <c r="I68" s="53">
        <v>340</v>
      </c>
      <c r="J68" s="54">
        <v>25362.355200000002</v>
      </c>
      <c r="K68" s="55">
        <f t="shared" si="4"/>
        <v>-8.9999999999999969E-2</v>
      </c>
      <c r="L68" s="56">
        <f t="shared" si="5"/>
        <v>-8.9999999999999969E-2</v>
      </c>
      <c r="M68" s="56" t="str">
        <f t="shared" si="6"/>
        <v/>
      </c>
      <c r="N68" s="56" t="str">
        <f t="shared" si="7"/>
        <v>OK</v>
      </c>
      <c r="O68" s="2"/>
      <c r="P68" s="27"/>
      <c r="Q68" s="2"/>
      <c r="R68" s="2"/>
    </row>
    <row r="69" spans="1:18" x14ac:dyDescent="0.35">
      <c r="A69" s="53">
        <v>587</v>
      </c>
      <c r="B69" s="53" t="s">
        <v>10</v>
      </c>
      <c r="C69" s="53" t="s">
        <v>31</v>
      </c>
      <c r="D69" s="53" t="s">
        <v>19</v>
      </c>
      <c r="E69" s="53" t="s">
        <v>24</v>
      </c>
      <c r="F69" s="54">
        <v>17648.669999999998</v>
      </c>
      <c r="G69" s="53">
        <v>870220</v>
      </c>
      <c r="H69" s="53">
        <v>10950</v>
      </c>
      <c r="I69" s="53">
        <v>453</v>
      </c>
      <c r="J69" s="54">
        <v>16060.289699999999</v>
      </c>
      <c r="K69" s="55">
        <f t="shared" si="4"/>
        <v>-8.9999999999999941E-2</v>
      </c>
      <c r="L69" s="56" t="str">
        <f t="shared" si="5"/>
        <v/>
      </c>
      <c r="M69" s="56">
        <f t="shared" si="6"/>
        <v>-8.9999999999999941E-2</v>
      </c>
      <c r="N69" s="56" t="str">
        <f t="shared" si="7"/>
        <v>OK</v>
      </c>
      <c r="O69" s="2"/>
      <c r="P69" s="27"/>
      <c r="Q69" s="2"/>
      <c r="R69" s="2"/>
    </row>
    <row r="70" spans="1:18" x14ac:dyDescent="0.35">
      <c r="A70" s="57">
        <v>100</v>
      </c>
      <c r="B70" s="57" t="s">
        <v>15</v>
      </c>
      <c r="C70" s="57" t="s">
        <v>32</v>
      </c>
      <c r="D70" s="57" t="s">
        <v>19</v>
      </c>
      <c r="E70" s="57" t="s">
        <v>26</v>
      </c>
      <c r="F70" s="58">
        <v>42256.55</v>
      </c>
      <c r="G70" s="57">
        <v>721935</v>
      </c>
      <c r="H70" s="57">
        <v>10801</v>
      </c>
      <c r="I70" s="57">
        <v>1240</v>
      </c>
      <c r="J70" s="58">
        <v>38876.025999999998</v>
      </c>
      <c r="K70" s="55">
        <f t="shared" si="4"/>
        <v>-8.0000000000000113E-2</v>
      </c>
      <c r="L70" s="56">
        <f t="shared" si="5"/>
        <v>-8.0000000000000113E-2</v>
      </c>
      <c r="M70" s="56" t="str">
        <f t="shared" si="6"/>
        <v/>
      </c>
      <c r="N70" s="56" t="str">
        <f t="shared" si="7"/>
        <v>OK</v>
      </c>
      <c r="O70" s="2"/>
      <c r="P70" s="27"/>
      <c r="Q70" s="2"/>
      <c r="R70" s="2"/>
    </row>
    <row r="71" spans="1:18" x14ac:dyDescent="0.35">
      <c r="A71" s="57">
        <v>62</v>
      </c>
      <c r="B71" s="57" t="s">
        <v>8</v>
      </c>
      <c r="C71" s="57" t="s">
        <v>31</v>
      </c>
      <c r="D71" s="57" t="s">
        <v>22</v>
      </c>
      <c r="E71" s="57" t="s">
        <v>26</v>
      </c>
      <c r="F71" s="58">
        <v>24931.31</v>
      </c>
      <c r="G71" s="57">
        <v>947562</v>
      </c>
      <c r="H71" s="57">
        <v>789</v>
      </c>
      <c r="I71" s="57">
        <v>1805</v>
      </c>
      <c r="J71" s="58">
        <v>22936.805199999999</v>
      </c>
      <c r="K71" s="55">
        <f t="shared" si="4"/>
        <v>-8.0000000000000099E-2</v>
      </c>
      <c r="L71" s="56" t="str">
        <f t="shared" si="5"/>
        <v/>
      </c>
      <c r="M71" s="56">
        <f t="shared" si="6"/>
        <v>-8.0000000000000099E-2</v>
      </c>
      <c r="N71" s="56" t="str">
        <f t="shared" si="7"/>
        <v>ERROR: Conversions &gt; Clicks</v>
      </c>
      <c r="O71" s="2"/>
      <c r="P71" s="27"/>
      <c r="Q71" s="2"/>
      <c r="R71" s="2"/>
    </row>
    <row r="72" spans="1:18" x14ac:dyDescent="0.35">
      <c r="A72" s="53">
        <v>1</v>
      </c>
      <c r="B72" s="53" t="s">
        <v>8</v>
      </c>
      <c r="C72" s="53" t="s">
        <v>31</v>
      </c>
      <c r="D72" s="53" t="s">
        <v>22</v>
      </c>
      <c r="E72" s="53" t="s">
        <v>29</v>
      </c>
      <c r="F72" s="54">
        <v>41696.19</v>
      </c>
      <c r="G72" s="53">
        <v>466285</v>
      </c>
      <c r="H72" s="53">
        <v>3616</v>
      </c>
      <c r="I72" s="53">
        <v>1678</v>
      </c>
      <c r="J72" s="54">
        <v>38360.4948</v>
      </c>
      <c r="K72" s="55">
        <f t="shared" si="4"/>
        <v>-8.0000000000000043E-2</v>
      </c>
      <c r="L72" s="56" t="str">
        <f t="shared" si="5"/>
        <v/>
      </c>
      <c r="M72" s="56">
        <f t="shared" si="6"/>
        <v>-8.0000000000000043E-2</v>
      </c>
      <c r="N72" s="56" t="str">
        <f t="shared" si="7"/>
        <v>OK</v>
      </c>
      <c r="O72" s="2"/>
      <c r="P72" s="27"/>
      <c r="Q72" s="2"/>
      <c r="R72" s="2"/>
    </row>
    <row r="73" spans="1:18" x14ac:dyDescent="0.35">
      <c r="A73" s="57">
        <v>384</v>
      </c>
      <c r="B73" s="57" t="s">
        <v>15</v>
      </c>
      <c r="C73" s="57" t="s">
        <v>32</v>
      </c>
      <c r="D73" s="57" t="s">
        <v>22</v>
      </c>
      <c r="E73" s="57" t="s">
        <v>26</v>
      </c>
      <c r="F73" s="58">
        <v>9284.9699999999993</v>
      </c>
      <c r="G73" s="57">
        <v>782997</v>
      </c>
      <c r="H73" s="57">
        <v>821</v>
      </c>
      <c r="I73" s="57">
        <v>274</v>
      </c>
      <c r="J73" s="58">
        <v>8542.1723999999995</v>
      </c>
      <c r="K73" s="55">
        <f t="shared" si="4"/>
        <v>-7.9999999999999988E-2</v>
      </c>
      <c r="L73" s="56">
        <f t="shared" si="5"/>
        <v>-7.9999999999999988E-2</v>
      </c>
      <c r="M73" s="56" t="str">
        <f t="shared" si="6"/>
        <v/>
      </c>
      <c r="N73" s="56" t="str">
        <f t="shared" si="7"/>
        <v>OK</v>
      </c>
      <c r="O73" s="2"/>
      <c r="P73" s="27"/>
      <c r="Q73" s="2"/>
      <c r="R73" s="2"/>
    </row>
    <row r="74" spans="1:18" x14ac:dyDescent="0.35">
      <c r="A74" s="53">
        <v>769</v>
      </c>
      <c r="B74" s="53" t="s">
        <v>12</v>
      </c>
      <c r="C74" s="53" t="s">
        <v>32</v>
      </c>
      <c r="D74" s="53" t="s">
        <v>22</v>
      </c>
      <c r="E74" s="53" t="s">
        <v>26</v>
      </c>
      <c r="F74" s="54">
        <v>21389.95</v>
      </c>
      <c r="G74" s="53">
        <v>185121</v>
      </c>
      <c r="H74" s="53">
        <v>8478</v>
      </c>
      <c r="I74" s="53">
        <v>1638</v>
      </c>
      <c r="J74" s="54">
        <v>19678.754000000001</v>
      </c>
      <c r="K74" s="55">
        <f t="shared" si="4"/>
        <v>-7.9999999999999988E-2</v>
      </c>
      <c r="L74" s="56">
        <f t="shared" si="5"/>
        <v>-7.9999999999999988E-2</v>
      </c>
      <c r="M74" s="56" t="str">
        <f t="shared" si="6"/>
        <v/>
      </c>
      <c r="N74" s="56" t="str">
        <f t="shared" si="7"/>
        <v>OK</v>
      </c>
      <c r="O74" s="2"/>
      <c r="P74" s="27"/>
      <c r="Q74" s="2"/>
      <c r="R74" s="2"/>
    </row>
    <row r="75" spans="1:18" x14ac:dyDescent="0.35">
      <c r="A75" s="57">
        <v>990</v>
      </c>
      <c r="B75" s="57" t="s">
        <v>13</v>
      </c>
      <c r="C75" s="57" t="s">
        <v>32</v>
      </c>
      <c r="D75" s="57" t="s">
        <v>18</v>
      </c>
      <c r="E75" s="57" t="s">
        <v>27</v>
      </c>
      <c r="F75" s="58">
        <v>41640.19</v>
      </c>
      <c r="G75" s="57">
        <v>257572</v>
      </c>
      <c r="H75" s="57">
        <v>1368</v>
      </c>
      <c r="I75" s="57">
        <v>1818</v>
      </c>
      <c r="J75" s="58">
        <v>38308.974800000004</v>
      </c>
      <c r="K75" s="55">
        <f t="shared" si="4"/>
        <v>-7.999999999999996E-2</v>
      </c>
      <c r="L75" s="56">
        <f t="shared" si="5"/>
        <v>-7.999999999999996E-2</v>
      </c>
      <c r="M75" s="56" t="str">
        <f t="shared" si="6"/>
        <v/>
      </c>
      <c r="N75" s="56" t="str">
        <f t="shared" si="7"/>
        <v>ERROR: Conversions &gt; Clicks</v>
      </c>
      <c r="O75" s="2"/>
      <c r="P75" s="27"/>
      <c r="Q75" s="2"/>
      <c r="R75" s="2"/>
    </row>
    <row r="76" spans="1:18" x14ac:dyDescent="0.35">
      <c r="A76" s="53">
        <v>213</v>
      </c>
      <c r="B76" s="53" t="s">
        <v>15</v>
      </c>
      <c r="C76" s="53" t="s">
        <v>32</v>
      </c>
      <c r="D76" s="53" t="s">
        <v>17</v>
      </c>
      <c r="E76" s="53" t="s">
        <v>26</v>
      </c>
      <c r="F76" s="54">
        <v>20278.939999999999</v>
      </c>
      <c r="G76" s="53">
        <v>944093</v>
      </c>
      <c r="H76" s="53">
        <v>15557</v>
      </c>
      <c r="I76" s="53">
        <v>1311</v>
      </c>
      <c r="J76" s="54">
        <v>18656.624800000001</v>
      </c>
      <c r="K76" s="55">
        <f t="shared" si="4"/>
        <v>-7.9999999999999877E-2</v>
      </c>
      <c r="L76" s="56">
        <f t="shared" si="5"/>
        <v>-7.9999999999999877E-2</v>
      </c>
      <c r="M76" s="56" t="str">
        <f t="shared" si="6"/>
        <v/>
      </c>
      <c r="N76" s="56" t="str">
        <f t="shared" si="7"/>
        <v>OK</v>
      </c>
      <c r="O76" s="2"/>
      <c r="P76" s="27"/>
      <c r="Q76" s="2"/>
      <c r="R76" s="2"/>
    </row>
    <row r="77" spans="1:18" x14ac:dyDescent="0.35">
      <c r="A77" s="53">
        <v>655</v>
      </c>
      <c r="B77" s="53" t="s">
        <v>10</v>
      </c>
      <c r="C77" s="53" t="s">
        <v>31</v>
      </c>
      <c r="D77" s="53" t="s">
        <v>17</v>
      </c>
      <c r="E77" s="53" t="s">
        <v>24</v>
      </c>
      <c r="F77" s="54">
        <v>23610.83</v>
      </c>
      <c r="G77" s="53">
        <v>640421</v>
      </c>
      <c r="H77" s="53">
        <v>4624</v>
      </c>
      <c r="I77" s="53">
        <v>1637</v>
      </c>
      <c r="J77" s="54">
        <v>21958.071899999999</v>
      </c>
      <c r="K77" s="55">
        <f t="shared" si="4"/>
        <v>-7.0000000000000118E-2</v>
      </c>
      <c r="L77" s="56" t="str">
        <f t="shared" si="5"/>
        <v/>
      </c>
      <c r="M77" s="56">
        <f t="shared" si="6"/>
        <v>-7.0000000000000118E-2</v>
      </c>
      <c r="N77" s="56" t="str">
        <f t="shared" si="7"/>
        <v>OK</v>
      </c>
      <c r="O77" s="2"/>
      <c r="P77" s="27"/>
      <c r="Q77" s="2"/>
      <c r="R77" s="2"/>
    </row>
    <row r="78" spans="1:18" x14ac:dyDescent="0.35">
      <c r="A78" s="53">
        <v>617</v>
      </c>
      <c r="B78" s="53" t="s">
        <v>11</v>
      </c>
      <c r="C78" s="53" t="s">
        <v>32</v>
      </c>
      <c r="D78" s="53" t="s">
        <v>21</v>
      </c>
      <c r="E78" s="53" t="s">
        <v>29</v>
      </c>
      <c r="F78" s="54">
        <v>19149.45</v>
      </c>
      <c r="G78" s="53">
        <v>436674</v>
      </c>
      <c r="H78" s="53">
        <v>2718</v>
      </c>
      <c r="I78" s="53">
        <v>1950</v>
      </c>
      <c r="J78" s="54">
        <v>17808.988499999999</v>
      </c>
      <c r="K78" s="55">
        <f t="shared" si="4"/>
        <v>-7.0000000000000062E-2</v>
      </c>
      <c r="L78" s="56">
        <f t="shared" si="5"/>
        <v>-7.0000000000000062E-2</v>
      </c>
      <c r="M78" s="56" t="str">
        <f t="shared" si="6"/>
        <v/>
      </c>
      <c r="N78" s="56" t="str">
        <f t="shared" si="7"/>
        <v>OK</v>
      </c>
      <c r="O78" s="2"/>
      <c r="P78" s="27"/>
      <c r="Q78" s="2"/>
      <c r="R78" s="2"/>
    </row>
    <row r="79" spans="1:18" x14ac:dyDescent="0.35">
      <c r="A79" s="53">
        <v>983</v>
      </c>
      <c r="B79" s="53" t="s">
        <v>12</v>
      </c>
      <c r="C79" s="53" t="s">
        <v>32</v>
      </c>
      <c r="D79" s="53" t="s">
        <v>18</v>
      </c>
      <c r="E79" s="53" t="s">
        <v>28</v>
      </c>
      <c r="F79" s="54">
        <v>11736.76</v>
      </c>
      <c r="G79" s="53">
        <v>133099</v>
      </c>
      <c r="H79" s="53">
        <v>3966</v>
      </c>
      <c r="I79" s="53">
        <v>1303</v>
      </c>
      <c r="J79" s="54">
        <v>10915.186799999999</v>
      </c>
      <c r="K79" s="55">
        <f t="shared" si="4"/>
        <v>-7.0000000000000062E-2</v>
      </c>
      <c r="L79" s="56">
        <f t="shared" si="5"/>
        <v>-7.0000000000000062E-2</v>
      </c>
      <c r="M79" s="56" t="str">
        <f t="shared" si="6"/>
        <v/>
      </c>
      <c r="N79" s="56" t="str">
        <f t="shared" si="7"/>
        <v>OK</v>
      </c>
      <c r="O79" s="2"/>
      <c r="P79" s="27"/>
      <c r="Q79" s="2"/>
      <c r="R79" s="2"/>
    </row>
    <row r="80" spans="1:18" x14ac:dyDescent="0.35">
      <c r="A80" s="53">
        <v>601</v>
      </c>
      <c r="B80" s="53" t="s">
        <v>15</v>
      </c>
      <c r="C80" s="53" t="s">
        <v>32</v>
      </c>
      <c r="D80" s="53" t="s">
        <v>18</v>
      </c>
      <c r="E80" s="53" t="s">
        <v>25</v>
      </c>
      <c r="F80" s="54">
        <v>9200.6299999999992</v>
      </c>
      <c r="G80" s="53">
        <v>691509</v>
      </c>
      <c r="H80" s="53">
        <v>11808</v>
      </c>
      <c r="I80" s="53">
        <v>1679</v>
      </c>
      <c r="J80" s="54">
        <v>8556.5859</v>
      </c>
      <c r="K80" s="55">
        <f t="shared" si="4"/>
        <v>-6.999999999999991E-2</v>
      </c>
      <c r="L80" s="56">
        <f t="shared" si="5"/>
        <v>-6.999999999999991E-2</v>
      </c>
      <c r="M80" s="56" t="str">
        <f t="shared" si="6"/>
        <v/>
      </c>
      <c r="N80" s="56" t="str">
        <f t="shared" si="7"/>
        <v>OK</v>
      </c>
      <c r="O80" s="2"/>
      <c r="P80" s="27"/>
      <c r="Q80" s="2"/>
      <c r="R80" s="2"/>
    </row>
    <row r="81" spans="1:18" x14ac:dyDescent="0.35">
      <c r="A81" s="53">
        <v>891</v>
      </c>
      <c r="B81" s="53" t="s">
        <v>8</v>
      </c>
      <c r="C81" s="53" t="s">
        <v>31</v>
      </c>
      <c r="D81" s="53" t="s">
        <v>18</v>
      </c>
      <c r="E81" s="53" t="s">
        <v>27</v>
      </c>
      <c r="F81" s="54">
        <v>7444.4</v>
      </c>
      <c r="G81" s="53">
        <v>307016</v>
      </c>
      <c r="H81" s="53">
        <v>6736</v>
      </c>
      <c r="I81" s="53">
        <v>1555</v>
      </c>
      <c r="J81" s="54">
        <v>6923.2920000000004</v>
      </c>
      <c r="K81" s="55">
        <f t="shared" si="4"/>
        <v>-6.999999999999991E-2</v>
      </c>
      <c r="L81" s="56" t="str">
        <f t="shared" si="5"/>
        <v/>
      </c>
      <c r="M81" s="56">
        <f t="shared" si="6"/>
        <v>-6.999999999999991E-2</v>
      </c>
      <c r="N81" s="56" t="str">
        <f t="shared" si="7"/>
        <v>OK</v>
      </c>
      <c r="O81" s="2"/>
      <c r="P81" s="27"/>
      <c r="Q81" s="2"/>
      <c r="R81" s="2"/>
    </row>
    <row r="82" spans="1:18" x14ac:dyDescent="0.35">
      <c r="A82" s="57">
        <v>556</v>
      </c>
      <c r="B82" s="57" t="s">
        <v>13</v>
      </c>
      <c r="C82" s="57" t="s">
        <v>32</v>
      </c>
      <c r="D82" s="57" t="s">
        <v>19</v>
      </c>
      <c r="E82" s="57" t="s">
        <v>29</v>
      </c>
      <c r="F82" s="58">
        <v>45596.6</v>
      </c>
      <c r="G82" s="57">
        <v>665258</v>
      </c>
      <c r="H82" s="57">
        <v>2966</v>
      </c>
      <c r="I82" s="57">
        <v>448</v>
      </c>
      <c r="J82" s="58">
        <v>42404.838000000003</v>
      </c>
      <c r="K82" s="55">
        <f t="shared" si="4"/>
        <v>-6.9999999999999896E-2</v>
      </c>
      <c r="L82" s="56">
        <f t="shared" si="5"/>
        <v>-6.9999999999999896E-2</v>
      </c>
      <c r="M82" s="56" t="str">
        <f t="shared" si="6"/>
        <v/>
      </c>
      <c r="N82" s="56" t="str">
        <f t="shared" si="7"/>
        <v>OK</v>
      </c>
      <c r="O82" s="2"/>
      <c r="P82" s="27"/>
      <c r="Q82" s="2"/>
      <c r="R82" s="2"/>
    </row>
    <row r="83" spans="1:18" x14ac:dyDescent="0.35">
      <c r="A83" s="57">
        <v>236</v>
      </c>
      <c r="B83" s="57" t="s">
        <v>12</v>
      </c>
      <c r="C83" s="57" t="s">
        <v>32</v>
      </c>
      <c r="D83" s="57" t="s">
        <v>18</v>
      </c>
      <c r="E83" s="57" t="s">
        <v>24</v>
      </c>
      <c r="F83" s="58">
        <v>27584.74</v>
      </c>
      <c r="G83" s="57">
        <v>500238</v>
      </c>
      <c r="H83" s="57">
        <v>15508</v>
      </c>
      <c r="I83" s="57">
        <v>436</v>
      </c>
      <c r="J83" s="58">
        <v>25929.655599999998</v>
      </c>
      <c r="K83" s="55">
        <f t="shared" si="4"/>
        <v>-6.0000000000000116E-2</v>
      </c>
      <c r="L83" s="56">
        <f t="shared" si="5"/>
        <v>-6.0000000000000116E-2</v>
      </c>
      <c r="M83" s="56" t="str">
        <f t="shared" si="6"/>
        <v/>
      </c>
      <c r="N83" s="56" t="str">
        <f t="shared" si="7"/>
        <v>OK</v>
      </c>
      <c r="O83" s="2"/>
      <c r="P83" s="27"/>
      <c r="Q83" s="2"/>
      <c r="R83" s="2"/>
    </row>
    <row r="84" spans="1:18" x14ac:dyDescent="0.35">
      <c r="A84" s="53">
        <v>851</v>
      </c>
      <c r="B84" s="53" t="s">
        <v>8</v>
      </c>
      <c r="C84" s="53" t="s">
        <v>31</v>
      </c>
      <c r="D84" s="53" t="s">
        <v>18</v>
      </c>
      <c r="E84" s="53" t="s">
        <v>27</v>
      </c>
      <c r="F84" s="54">
        <v>36794.32</v>
      </c>
      <c r="G84" s="53">
        <v>861480</v>
      </c>
      <c r="H84" s="53">
        <v>4775</v>
      </c>
      <c r="I84" s="53">
        <v>1400</v>
      </c>
      <c r="J84" s="54">
        <v>34586.660799999998</v>
      </c>
      <c r="K84" s="55">
        <f t="shared" si="4"/>
        <v>-6.0000000000000053E-2</v>
      </c>
      <c r="L84" s="56" t="str">
        <f t="shared" si="5"/>
        <v/>
      </c>
      <c r="M84" s="56">
        <f t="shared" si="6"/>
        <v>-6.0000000000000053E-2</v>
      </c>
      <c r="N84" s="56" t="str">
        <f t="shared" si="7"/>
        <v>OK</v>
      </c>
      <c r="O84" s="2"/>
      <c r="P84" s="27"/>
      <c r="Q84" s="2"/>
      <c r="R84" s="2"/>
    </row>
    <row r="85" spans="1:18" x14ac:dyDescent="0.35">
      <c r="A85" s="53">
        <v>73</v>
      </c>
      <c r="B85" s="53" t="s">
        <v>11</v>
      </c>
      <c r="C85" s="53" t="s">
        <v>32</v>
      </c>
      <c r="D85" s="53" t="s">
        <v>20</v>
      </c>
      <c r="E85" s="53" t="s">
        <v>27</v>
      </c>
      <c r="F85" s="54">
        <v>43979.78</v>
      </c>
      <c r="G85" s="53">
        <v>338785</v>
      </c>
      <c r="H85" s="53">
        <v>17689</v>
      </c>
      <c r="I85" s="53">
        <v>1119</v>
      </c>
      <c r="J85" s="54">
        <v>41340.993199999997</v>
      </c>
      <c r="K85" s="55">
        <f t="shared" si="4"/>
        <v>-6.0000000000000039E-2</v>
      </c>
      <c r="L85" s="56">
        <f t="shared" si="5"/>
        <v>-6.0000000000000039E-2</v>
      </c>
      <c r="M85" s="56" t="str">
        <f t="shared" si="6"/>
        <v/>
      </c>
      <c r="N85" s="56" t="str">
        <f t="shared" si="7"/>
        <v>OK</v>
      </c>
      <c r="O85" s="2"/>
      <c r="P85" s="27"/>
      <c r="Q85" s="2"/>
      <c r="R85" s="2"/>
    </row>
    <row r="86" spans="1:18" x14ac:dyDescent="0.35">
      <c r="A86" s="57">
        <v>330</v>
      </c>
      <c r="B86" s="57" t="s">
        <v>13</v>
      </c>
      <c r="C86" s="57" t="s">
        <v>32</v>
      </c>
      <c r="D86" s="57" t="s">
        <v>22</v>
      </c>
      <c r="E86" s="57" t="s">
        <v>29</v>
      </c>
      <c r="F86" s="58">
        <v>15528</v>
      </c>
      <c r="G86" s="57">
        <v>665348</v>
      </c>
      <c r="H86" s="57">
        <v>7001</v>
      </c>
      <c r="I86" s="57">
        <v>756</v>
      </c>
      <c r="J86" s="58">
        <v>14596.32</v>
      </c>
      <c r="K86" s="55">
        <f t="shared" si="4"/>
        <v>-6.0000000000000019E-2</v>
      </c>
      <c r="L86" s="56">
        <f t="shared" si="5"/>
        <v>-6.0000000000000019E-2</v>
      </c>
      <c r="M86" s="56" t="str">
        <f t="shared" si="6"/>
        <v/>
      </c>
      <c r="N86" s="56" t="str">
        <f t="shared" si="7"/>
        <v>OK</v>
      </c>
      <c r="O86" s="2"/>
      <c r="P86" s="27"/>
      <c r="Q86" s="2"/>
      <c r="R86" s="2"/>
    </row>
    <row r="87" spans="1:18" x14ac:dyDescent="0.35">
      <c r="A87" s="57">
        <v>712</v>
      </c>
      <c r="B87" s="57" t="s">
        <v>14</v>
      </c>
      <c r="C87" s="57" t="s">
        <v>32</v>
      </c>
      <c r="D87" s="57" t="s">
        <v>21</v>
      </c>
      <c r="E87" s="57" t="s">
        <v>26</v>
      </c>
      <c r="F87" s="58">
        <v>31994.66</v>
      </c>
      <c r="G87" s="57">
        <v>999336</v>
      </c>
      <c r="H87" s="57">
        <v>908</v>
      </c>
      <c r="I87" s="57">
        <v>1075</v>
      </c>
      <c r="J87" s="58">
        <v>30074.9804</v>
      </c>
      <c r="K87" s="55">
        <f t="shared" si="4"/>
        <v>-5.9999999999999984E-2</v>
      </c>
      <c r="L87" s="56">
        <f t="shared" si="5"/>
        <v>-5.9999999999999984E-2</v>
      </c>
      <c r="M87" s="56" t="str">
        <f t="shared" si="6"/>
        <v/>
      </c>
      <c r="N87" s="56" t="str">
        <f t="shared" si="7"/>
        <v>ERROR: Conversions &gt; Clicks</v>
      </c>
      <c r="O87" s="2"/>
      <c r="P87" s="27"/>
      <c r="Q87" s="2"/>
      <c r="R87" s="2"/>
    </row>
    <row r="88" spans="1:18" x14ac:dyDescent="0.35">
      <c r="A88" s="53">
        <v>253</v>
      </c>
      <c r="B88" s="53" t="s">
        <v>12</v>
      </c>
      <c r="C88" s="53" t="s">
        <v>32</v>
      </c>
      <c r="D88" s="53" t="s">
        <v>17</v>
      </c>
      <c r="E88" s="53" t="s">
        <v>24</v>
      </c>
      <c r="F88" s="54">
        <v>18442.7</v>
      </c>
      <c r="G88" s="53">
        <v>930304</v>
      </c>
      <c r="H88" s="53">
        <v>12005</v>
      </c>
      <c r="I88" s="53">
        <v>1668</v>
      </c>
      <c r="J88" s="54">
        <v>17520.564999999999</v>
      </c>
      <c r="K88" s="55">
        <f t="shared" si="4"/>
        <v>-5.0000000000000107E-2</v>
      </c>
      <c r="L88" s="56">
        <f t="shared" si="5"/>
        <v>-5.0000000000000107E-2</v>
      </c>
      <c r="M88" s="56" t="str">
        <f t="shared" si="6"/>
        <v/>
      </c>
      <c r="N88" s="56" t="str">
        <f t="shared" si="7"/>
        <v>OK</v>
      </c>
      <c r="O88" s="2"/>
      <c r="P88" s="27"/>
      <c r="Q88" s="2"/>
      <c r="R88" s="2"/>
    </row>
    <row r="89" spans="1:18" x14ac:dyDescent="0.35">
      <c r="A89" s="57">
        <v>774</v>
      </c>
      <c r="B89" s="57" t="s">
        <v>12</v>
      </c>
      <c r="C89" s="57" t="s">
        <v>32</v>
      </c>
      <c r="D89" s="57" t="s">
        <v>22</v>
      </c>
      <c r="E89" s="57" t="s">
        <v>27</v>
      </c>
      <c r="F89" s="58">
        <v>23243.4</v>
      </c>
      <c r="G89" s="57">
        <v>74925</v>
      </c>
      <c r="H89" s="57">
        <v>4686</v>
      </c>
      <c r="I89" s="57">
        <v>1363</v>
      </c>
      <c r="J89" s="58">
        <v>22081.23</v>
      </c>
      <c r="K89" s="55">
        <f t="shared" si="4"/>
        <v>-5.0000000000000079E-2</v>
      </c>
      <c r="L89" s="56">
        <f t="shared" si="5"/>
        <v>-5.0000000000000079E-2</v>
      </c>
      <c r="M89" s="56" t="str">
        <f t="shared" si="6"/>
        <v/>
      </c>
      <c r="N89" s="56" t="str">
        <f t="shared" si="7"/>
        <v>OK</v>
      </c>
      <c r="O89" s="2"/>
      <c r="P89" s="27"/>
      <c r="Q89" s="2"/>
      <c r="R89" s="2"/>
    </row>
    <row r="90" spans="1:18" x14ac:dyDescent="0.35">
      <c r="A90" s="53">
        <v>689</v>
      </c>
      <c r="B90" s="53" t="s">
        <v>8</v>
      </c>
      <c r="C90" s="53" t="s">
        <v>31</v>
      </c>
      <c r="D90" s="53" t="s">
        <v>18</v>
      </c>
      <c r="E90" s="53" t="s">
        <v>26</v>
      </c>
      <c r="F90" s="54">
        <v>23342.98</v>
      </c>
      <c r="G90" s="53">
        <v>845825</v>
      </c>
      <c r="H90" s="53">
        <v>3264</v>
      </c>
      <c r="I90" s="53">
        <v>1068</v>
      </c>
      <c r="J90" s="54">
        <v>22175.830999999998</v>
      </c>
      <c r="K90" s="55">
        <f t="shared" si="4"/>
        <v>-5.0000000000000051E-2</v>
      </c>
      <c r="L90" s="56" t="str">
        <f t="shared" si="5"/>
        <v/>
      </c>
      <c r="M90" s="56">
        <f t="shared" si="6"/>
        <v>-5.0000000000000051E-2</v>
      </c>
      <c r="N90" s="56" t="str">
        <f t="shared" si="7"/>
        <v>OK</v>
      </c>
      <c r="O90" s="2"/>
      <c r="P90" s="27"/>
      <c r="Q90" s="2"/>
      <c r="R90" s="2"/>
    </row>
    <row r="91" spans="1:18" x14ac:dyDescent="0.35">
      <c r="A91" s="57">
        <v>218</v>
      </c>
      <c r="B91" s="57" t="s">
        <v>15</v>
      </c>
      <c r="C91" s="57" t="s">
        <v>32</v>
      </c>
      <c r="D91" s="57" t="s">
        <v>22</v>
      </c>
      <c r="E91" s="57" t="s">
        <v>27</v>
      </c>
      <c r="F91" s="58">
        <v>48997.99</v>
      </c>
      <c r="G91" s="57">
        <v>148286</v>
      </c>
      <c r="H91" s="57">
        <v>4245</v>
      </c>
      <c r="I91" s="57">
        <v>339</v>
      </c>
      <c r="J91" s="58">
        <v>46548.090499999998</v>
      </c>
      <c r="K91" s="55">
        <f t="shared" si="4"/>
        <v>-4.9999999999999996E-2</v>
      </c>
      <c r="L91" s="56">
        <f t="shared" si="5"/>
        <v>-4.9999999999999996E-2</v>
      </c>
      <c r="M91" s="56" t="str">
        <f t="shared" si="6"/>
        <v/>
      </c>
      <c r="N91" s="56" t="str">
        <f t="shared" si="7"/>
        <v>OK</v>
      </c>
      <c r="O91" s="2"/>
      <c r="P91" s="27"/>
      <c r="Q91" s="2"/>
      <c r="R91" s="2"/>
    </row>
    <row r="92" spans="1:18" x14ac:dyDescent="0.35">
      <c r="A92" s="57">
        <v>680</v>
      </c>
      <c r="B92" s="57" t="s">
        <v>14</v>
      </c>
      <c r="C92" s="57" t="s">
        <v>32</v>
      </c>
      <c r="D92" s="57" t="s">
        <v>22</v>
      </c>
      <c r="E92" s="57" t="s">
        <v>25</v>
      </c>
      <c r="F92" s="58">
        <v>25079.49</v>
      </c>
      <c r="G92" s="57">
        <v>303925</v>
      </c>
      <c r="H92" s="57">
        <v>11973</v>
      </c>
      <c r="I92" s="57">
        <v>1697</v>
      </c>
      <c r="J92" s="58">
        <v>24076.310399999998</v>
      </c>
      <c r="K92" s="55">
        <f t="shared" si="4"/>
        <v>-4.0000000000000119E-2</v>
      </c>
      <c r="L92" s="56">
        <f t="shared" si="5"/>
        <v>-4.0000000000000119E-2</v>
      </c>
      <c r="M92" s="56" t="str">
        <f t="shared" si="6"/>
        <v/>
      </c>
      <c r="N92" s="56" t="str">
        <f t="shared" si="7"/>
        <v>OK</v>
      </c>
      <c r="O92" s="2"/>
      <c r="P92" s="27"/>
      <c r="Q92" s="2"/>
      <c r="R92" s="2"/>
    </row>
    <row r="93" spans="1:18" x14ac:dyDescent="0.35">
      <c r="A93" s="53">
        <v>445</v>
      </c>
      <c r="B93" s="53" t="s">
        <v>12</v>
      </c>
      <c r="C93" s="53" t="s">
        <v>32</v>
      </c>
      <c r="D93" s="53" t="s">
        <v>20</v>
      </c>
      <c r="E93" s="53" t="s">
        <v>25</v>
      </c>
      <c r="F93" s="54">
        <v>47835.4</v>
      </c>
      <c r="G93" s="53">
        <v>417472</v>
      </c>
      <c r="H93" s="53">
        <v>4863</v>
      </c>
      <c r="I93" s="53">
        <v>1458</v>
      </c>
      <c r="J93" s="54">
        <v>45921.983999999997</v>
      </c>
      <c r="K93" s="55">
        <f t="shared" si="4"/>
        <v>-4.0000000000000098E-2</v>
      </c>
      <c r="L93" s="56">
        <f t="shared" si="5"/>
        <v>-4.0000000000000098E-2</v>
      </c>
      <c r="M93" s="56" t="str">
        <f t="shared" si="6"/>
        <v/>
      </c>
      <c r="N93" s="56" t="str">
        <f t="shared" si="7"/>
        <v>OK</v>
      </c>
      <c r="O93" s="2"/>
      <c r="P93" s="27"/>
      <c r="Q93" s="2"/>
      <c r="R93" s="2"/>
    </row>
    <row r="94" spans="1:18" x14ac:dyDescent="0.35">
      <c r="A94" s="57">
        <v>896</v>
      </c>
      <c r="B94" s="57" t="s">
        <v>12</v>
      </c>
      <c r="C94" s="57" t="s">
        <v>32</v>
      </c>
      <c r="D94" s="57" t="s">
        <v>17</v>
      </c>
      <c r="E94" s="57" t="s">
        <v>29</v>
      </c>
      <c r="F94" s="58">
        <v>19018.95</v>
      </c>
      <c r="G94" s="57">
        <v>454975</v>
      </c>
      <c r="H94" s="57">
        <v>19326</v>
      </c>
      <c r="I94" s="57">
        <v>1953</v>
      </c>
      <c r="J94" s="58">
        <v>18258.191999999999</v>
      </c>
      <c r="K94" s="55">
        <f t="shared" si="4"/>
        <v>-4.0000000000000084E-2</v>
      </c>
      <c r="L94" s="56">
        <f t="shared" si="5"/>
        <v>-4.0000000000000084E-2</v>
      </c>
      <c r="M94" s="56" t="str">
        <f t="shared" si="6"/>
        <v/>
      </c>
      <c r="N94" s="56" t="str">
        <f t="shared" si="7"/>
        <v>OK</v>
      </c>
      <c r="O94" s="2"/>
      <c r="P94" s="27"/>
      <c r="Q94" s="2"/>
      <c r="R94" s="2"/>
    </row>
    <row r="95" spans="1:18" x14ac:dyDescent="0.35">
      <c r="A95" s="57">
        <v>350</v>
      </c>
      <c r="B95" s="57" t="s">
        <v>8</v>
      </c>
      <c r="C95" s="57" t="s">
        <v>31</v>
      </c>
      <c r="D95" s="57" t="s">
        <v>18</v>
      </c>
      <c r="E95" s="57" t="s">
        <v>28</v>
      </c>
      <c r="F95" s="58">
        <v>31075.09</v>
      </c>
      <c r="G95" s="57">
        <v>944339</v>
      </c>
      <c r="H95" s="57">
        <v>11769</v>
      </c>
      <c r="I95" s="57">
        <v>373</v>
      </c>
      <c r="J95" s="58">
        <v>29832.0864</v>
      </c>
      <c r="K95" s="55">
        <f t="shared" si="4"/>
        <v>-0.04</v>
      </c>
      <c r="L95" s="56" t="str">
        <f t="shared" si="5"/>
        <v/>
      </c>
      <c r="M95" s="56">
        <f t="shared" si="6"/>
        <v>-0.04</v>
      </c>
      <c r="N95" s="56" t="str">
        <f t="shared" si="7"/>
        <v>OK</v>
      </c>
      <c r="O95" s="2"/>
      <c r="P95" s="27"/>
      <c r="Q95" s="2"/>
      <c r="R95" s="2"/>
    </row>
    <row r="96" spans="1:18" x14ac:dyDescent="0.35">
      <c r="A96" s="57">
        <v>906</v>
      </c>
      <c r="B96" s="57" t="s">
        <v>14</v>
      </c>
      <c r="C96" s="57" t="s">
        <v>32</v>
      </c>
      <c r="D96" s="57" t="s">
        <v>20</v>
      </c>
      <c r="E96" s="57" t="s">
        <v>29</v>
      </c>
      <c r="F96" s="58">
        <v>33487.360000000001</v>
      </c>
      <c r="G96" s="57">
        <v>128094</v>
      </c>
      <c r="H96" s="57">
        <v>16252</v>
      </c>
      <c r="I96" s="57">
        <v>1185</v>
      </c>
      <c r="J96" s="58">
        <v>32147.865600000001</v>
      </c>
      <c r="K96" s="55">
        <f t="shared" si="4"/>
        <v>-3.9999999999999987E-2</v>
      </c>
      <c r="L96" s="56">
        <f t="shared" si="5"/>
        <v>-3.9999999999999987E-2</v>
      </c>
      <c r="M96" s="56" t="str">
        <f t="shared" si="6"/>
        <v/>
      </c>
      <c r="N96" s="56" t="str">
        <f t="shared" si="7"/>
        <v>OK</v>
      </c>
      <c r="O96" s="2"/>
      <c r="P96" s="27"/>
      <c r="Q96" s="2"/>
      <c r="R96" s="2"/>
    </row>
    <row r="97" spans="1:18" x14ac:dyDescent="0.35">
      <c r="A97" s="53">
        <v>791</v>
      </c>
      <c r="B97" s="53" t="s">
        <v>10</v>
      </c>
      <c r="C97" s="53" t="s">
        <v>31</v>
      </c>
      <c r="D97" s="53" t="s">
        <v>22</v>
      </c>
      <c r="E97" s="53" t="s">
        <v>25</v>
      </c>
      <c r="F97" s="54">
        <v>36364.36</v>
      </c>
      <c r="G97" s="53">
        <v>796086</v>
      </c>
      <c r="H97" s="53">
        <v>18273</v>
      </c>
      <c r="I97" s="53">
        <v>1331</v>
      </c>
      <c r="J97" s="54">
        <v>34909.785600000003</v>
      </c>
      <c r="K97" s="55">
        <f t="shared" si="4"/>
        <v>-3.9999999999999938E-2</v>
      </c>
      <c r="L97" s="56" t="str">
        <f t="shared" si="5"/>
        <v/>
      </c>
      <c r="M97" s="56">
        <f t="shared" si="6"/>
        <v>-3.9999999999999938E-2</v>
      </c>
      <c r="N97" s="56" t="str">
        <f t="shared" si="7"/>
        <v>OK</v>
      </c>
      <c r="O97" s="2"/>
      <c r="P97" s="27"/>
      <c r="Q97" s="2"/>
      <c r="R97" s="2"/>
    </row>
    <row r="98" spans="1:18" x14ac:dyDescent="0.35">
      <c r="A98" s="57">
        <v>928</v>
      </c>
      <c r="B98" s="57" t="s">
        <v>12</v>
      </c>
      <c r="C98" s="57" t="s">
        <v>32</v>
      </c>
      <c r="D98" s="57" t="s">
        <v>18</v>
      </c>
      <c r="E98" s="57" t="s">
        <v>26</v>
      </c>
      <c r="F98" s="58">
        <v>32584.97</v>
      </c>
      <c r="G98" s="57">
        <v>949839</v>
      </c>
      <c r="H98" s="57">
        <v>3909</v>
      </c>
      <c r="I98" s="57">
        <v>1361</v>
      </c>
      <c r="J98" s="58">
        <v>31607.420900000001</v>
      </c>
      <c r="K98" s="55">
        <f t="shared" si="4"/>
        <v>-3.0000000000000006E-2</v>
      </c>
      <c r="L98" s="56">
        <f t="shared" si="5"/>
        <v>-3.0000000000000006E-2</v>
      </c>
      <c r="M98" s="56" t="str">
        <f t="shared" si="6"/>
        <v/>
      </c>
      <c r="N98" s="56" t="str">
        <f t="shared" si="7"/>
        <v>OK</v>
      </c>
      <c r="O98" s="2"/>
      <c r="P98" s="27"/>
      <c r="Q98" s="2"/>
      <c r="R98" s="2"/>
    </row>
    <row r="99" spans="1:18" x14ac:dyDescent="0.35">
      <c r="A99" s="53">
        <v>353</v>
      </c>
      <c r="B99" s="53" t="s">
        <v>11</v>
      </c>
      <c r="C99" s="53" t="s">
        <v>32</v>
      </c>
      <c r="D99" s="53" t="s">
        <v>19</v>
      </c>
      <c r="E99" s="53" t="s">
        <v>29</v>
      </c>
      <c r="F99" s="54">
        <v>37165.39</v>
      </c>
      <c r="G99" s="53">
        <v>625937</v>
      </c>
      <c r="H99" s="53">
        <v>3085</v>
      </c>
      <c r="I99" s="53">
        <v>387</v>
      </c>
      <c r="J99" s="54">
        <v>36050.4283</v>
      </c>
      <c r="K99" s="55">
        <f t="shared" si="4"/>
        <v>-2.9999999999999995E-2</v>
      </c>
      <c r="L99" s="56">
        <f t="shared" si="5"/>
        <v>-2.9999999999999995E-2</v>
      </c>
      <c r="M99" s="56" t="str">
        <f t="shared" si="6"/>
        <v/>
      </c>
      <c r="N99" s="56" t="str">
        <f t="shared" si="7"/>
        <v>OK</v>
      </c>
      <c r="O99" s="2"/>
      <c r="P99" s="27"/>
      <c r="Q99" s="2"/>
      <c r="R99" s="2"/>
    </row>
    <row r="100" spans="1:18" x14ac:dyDescent="0.35">
      <c r="A100" s="57">
        <v>512</v>
      </c>
      <c r="B100" s="57" t="s">
        <v>14</v>
      </c>
      <c r="C100" s="57" t="s">
        <v>32</v>
      </c>
      <c r="D100" s="57" t="s">
        <v>19</v>
      </c>
      <c r="E100" s="57" t="s">
        <v>26</v>
      </c>
      <c r="F100" s="58">
        <v>13650.49</v>
      </c>
      <c r="G100" s="57">
        <v>788799</v>
      </c>
      <c r="H100" s="57">
        <v>9561</v>
      </c>
      <c r="I100" s="57">
        <v>1302</v>
      </c>
      <c r="J100" s="58">
        <v>13240.9753</v>
      </c>
      <c r="K100" s="55">
        <f t="shared" si="4"/>
        <v>-2.9999999999999982E-2</v>
      </c>
      <c r="L100" s="56">
        <f t="shared" si="5"/>
        <v>-2.9999999999999982E-2</v>
      </c>
      <c r="M100" s="56" t="str">
        <f t="shared" si="6"/>
        <v/>
      </c>
      <c r="N100" s="56" t="str">
        <f t="shared" si="7"/>
        <v>OK</v>
      </c>
      <c r="O100" s="2"/>
      <c r="P100" s="27"/>
      <c r="Q100" s="2"/>
      <c r="R100" s="2"/>
    </row>
    <row r="101" spans="1:18" x14ac:dyDescent="0.35">
      <c r="A101" s="57">
        <v>422</v>
      </c>
      <c r="B101" s="57" t="s">
        <v>14</v>
      </c>
      <c r="C101" s="57" t="s">
        <v>32</v>
      </c>
      <c r="D101" s="57" t="s">
        <v>19</v>
      </c>
      <c r="E101" s="57" t="s">
        <v>27</v>
      </c>
      <c r="F101" s="58">
        <v>4160.07</v>
      </c>
      <c r="G101" s="57">
        <v>852065</v>
      </c>
      <c r="H101" s="57">
        <v>15649</v>
      </c>
      <c r="I101" s="57">
        <v>349</v>
      </c>
      <c r="J101" s="58">
        <v>4035.2678999999998</v>
      </c>
      <c r="K101" s="55">
        <f t="shared" si="4"/>
        <v>-2.9999999999999975E-2</v>
      </c>
      <c r="L101" s="56">
        <f t="shared" si="5"/>
        <v>-2.9999999999999975E-2</v>
      </c>
      <c r="M101" s="56" t="str">
        <f t="shared" si="6"/>
        <v/>
      </c>
      <c r="N101" s="56" t="str">
        <f t="shared" si="7"/>
        <v>OK</v>
      </c>
      <c r="O101" s="2"/>
      <c r="P101" s="27"/>
      <c r="Q101" s="2"/>
      <c r="R101" s="2"/>
    </row>
    <row r="102" spans="1:18" x14ac:dyDescent="0.35">
      <c r="A102" s="53">
        <v>455</v>
      </c>
      <c r="B102" s="53" t="s">
        <v>15</v>
      </c>
      <c r="C102" s="53" t="s">
        <v>32</v>
      </c>
      <c r="D102" s="53" t="s">
        <v>19</v>
      </c>
      <c r="E102" s="53" t="s">
        <v>26</v>
      </c>
      <c r="F102" s="54">
        <v>47457.31</v>
      </c>
      <c r="G102" s="53">
        <v>745010</v>
      </c>
      <c r="H102" s="53">
        <v>12089</v>
      </c>
      <c r="I102" s="53">
        <v>1745</v>
      </c>
      <c r="J102" s="54">
        <v>46033.590700000001</v>
      </c>
      <c r="K102" s="55">
        <f t="shared" si="4"/>
        <v>-2.999999999999994E-2</v>
      </c>
      <c r="L102" s="56">
        <f t="shared" si="5"/>
        <v>-2.999999999999994E-2</v>
      </c>
      <c r="M102" s="56" t="str">
        <f t="shared" si="6"/>
        <v/>
      </c>
      <c r="N102" s="56" t="str">
        <f t="shared" si="7"/>
        <v>OK</v>
      </c>
      <c r="O102" s="2"/>
      <c r="P102" s="27"/>
      <c r="Q102" s="2"/>
      <c r="R102" s="2"/>
    </row>
    <row r="103" spans="1:18" x14ac:dyDescent="0.35">
      <c r="A103" s="53">
        <v>859</v>
      </c>
      <c r="B103" s="53" t="s">
        <v>14</v>
      </c>
      <c r="C103" s="53" t="s">
        <v>32</v>
      </c>
      <c r="D103" s="53" t="s">
        <v>18</v>
      </c>
      <c r="E103" s="53" t="s">
        <v>27</v>
      </c>
      <c r="F103" s="54">
        <v>37117.730000000003</v>
      </c>
      <c r="G103" s="53">
        <v>676015</v>
      </c>
      <c r="H103" s="53">
        <v>13750</v>
      </c>
      <c r="I103" s="53">
        <v>226</v>
      </c>
      <c r="J103" s="54">
        <v>36375.375399999997</v>
      </c>
      <c r="K103" s="55">
        <f t="shared" si="4"/>
        <v>-2.000000000000016E-2</v>
      </c>
      <c r="L103" s="56">
        <f t="shared" si="5"/>
        <v>-2.000000000000016E-2</v>
      </c>
      <c r="M103" s="56" t="str">
        <f t="shared" si="6"/>
        <v/>
      </c>
      <c r="N103" s="56" t="str">
        <f t="shared" si="7"/>
        <v>OK</v>
      </c>
      <c r="O103" s="2"/>
      <c r="P103" s="27"/>
      <c r="Q103" s="2"/>
      <c r="R103" s="2"/>
    </row>
    <row r="104" spans="1:18" x14ac:dyDescent="0.35">
      <c r="A104" s="57">
        <v>738</v>
      </c>
      <c r="B104" s="57" t="s">
        <v>15</v>
      </c>
      <c r="C104" s="57" t="s">
        <v>32</v>
      </c>
      <c r="D104" s="57" t="s">
        <v>18</v>
      </c>
      <c r="E104" s="57" t="s">
        <v>25</v>
      </c>
      <c r="F104" s="58">
        <v>34682.910000000003</v>
      </c>
      <c r="G104" s="57">
        <v>795833</v>
      </c>
      <c r="H104" s="57">
        <v>14138</v>
      </c>
      <c r="I104" s="57">
        <v>765</v>
      </c>
      <c r="J104" s="58">
        <v>33989.251799999998</v>
      </c>
      <c r="K104" s="55">
        <f t="shared" si="4"/>
        <v>-2.000000000000015E-2</v>
      </c>
      <c r="L104" s="56">
        <f t="shared" si="5"/>
        <v>-2.000000000000015E-2</v>
      </c>
      <c r="M104" s="56" t="str">
        <f t="shared" si="6"/>
        <v/>
      </c>
      <c r="N104" s="56" t="str">
        <f t="shared" si="7"/>
        <v>OK</v>
      </c>
      <c r="O104" s="2"/>
      <c r="P104" s="27"/>
      <c r="Q104" s="2"/>
      <c r="R104" s="2"/>
    </row>
    <row r="105" spans="1:18" x14ac:dyDescent="0.35">
      <c r="A105" s="57">
        <v>290</v>
      </c>
      <c r="B105" s="57" t="s">
        <v>13</v>
      </c>
      <c r="C105" s="57" t="s">
        <v>32</v>
      </c>
      <c r="D105" s="57" t="s">
        <v>22</v>
      </c>
      <c r="E105" s="57" t="s">
        <v>25</v>
      </c>
      <c r="F105" s="58">
        <v>10596.2</v>
      </c>
      <c r="G105" s="57">
        <v>963680</v>
      </c>
      <c r="H105" s="57">
        <v>17328</v>
      </c>
      <c r="I105" s="57">
        <v>702</v>
      </c>
      <c r="J105" s="58">
        <v>10384.276</v>
      </c>
      <c r="K105" s="55">
        <f t="shared" si="4"/>
        <v>-2.0000000000000084E-2</v>
      </c>
      <c r="L105" s="56">
        <f t="shared" si="5"/>
        <v>-2.0000000000000084E-2</v>
      </c>
      <c r="M105" s="56" t="str">
        <f t="shared" si="6"/>
        <v/>
      </c>
      <c r="N105" s="56" t="str">
        <f t="shared" si="7"/>
        <v>OK</v>
      </c>
      <c r="O105" s="2"/>
      <c r="P105" s="27"/>
      <c r="Q105" s="2"/>
      <c r="R105" s="2"/>
    </row>
    <row r="106" spans="1:18" x14ac:dyDescent="0.35">
      <c r="A106" s="53">
        <v>49</v>
      </c>
      <c r="B106" s="53" t="s">
        <v>10</v>
      </c>
      <c r="C106" s="53" t="s">
        <v>31</v>
      </c>
      <c r="D106" s="53" t="s">
        <v>17</v>
      </c>
      <c r="E106" s="53" t="s">
        <v>26</v>
      </c>
      <c r="F106" s="54">
        <v>37661.4</v>
      </c>
      <c r="G106" s="53">
        <v>117096</v>
      </c>
      <c r="H106" s="53">
        <v>16644</v>
      </c>
      <c r="I106" s="53">
        <v>1706</v>
      </c>
      <c r="J106" s="54">
        <v>36908.171999999999</v>
      </c>
      <c r="K106" s="55">
        <f t="shared" si="4"/>
        <v>-2.0000000000000073E-2</v>
      </c>
      <c r="L106" s="56" t="str">
        <f t="shared" si="5"/>
        <v/>
      </c>
      <c r="M106" s="56">
        <f t="shared" si="6"/>
        <v>-2.0000000000000073E-2</v>
      </c>
      <c r="N106" s="56" t="str">
        <f t="shared" si="7"/>
        <v>OK</v>
      </c>
      <c r="O106" s="2"/>
      <c r="P106" s="27"/>
      <c r="Q106" s="2"/>
      <c r="R106" s="2"/>
    </row>
    <row r="107" spans="1:18" x14ac:dyDescent="0.35">
      <c r="A107" s="53">
        <v>811</v>
      </c>
      <c r="B107" s="53" t="s">
        <v>9</v>
      </c>
      <c r="C107" s="53" t="s">
        <v>31</v>
      </c>
      <c r="D107" s="53" t="s">
        <v>20</v>
      </c>
      <c r="E107" s="53" t="s">
        <v>25</v>
      </c>
      <c r="F107" s="54">
        <v>45452.79</v>
      </c>
      <c r="G107" s="53">
        <v>768761</v>
      </c>
      <c r="H107" s="53">
        <v>12848</v>
      </c>
      <c r="I107" s="53">
        <v>1520</v>
      </c>
      <c r="J107" s="54">
        <v>44543.734199999999</v>
      </c>
      <c r="K107" s="55">
        <f t="shared" si="4"/>
        <v>-2.0000000000000042E-2</v>
      </c>
      <c r="L107" s="56" t="str">
        <f t="shared" si="5"/>
        <v/>
      </c>
      <c r="M107" s="56">
        <f t="shared" si="6"/>
        <v>-2.0000000000000042E-2</v>
      </c>
      <c r="N107" s="56" t="str">
        <f t="shared" si="7"/>
        <v>OK</v>
      </c>
      <c r="O107" s="2"/>
      <c r="P107" s="27"/>
      <c r="Q107" s="2"/>
      <c r="R107" s="2"/>
    </row>
    <row r="108" spans="1:18" x14ac:dyDescent="0.35">
      <c r="A108" s="57">
        <v>68</v>
      </c>
      <c r="B108" s="57" t="s">
        <v>11</v>
      </c>
      <c r="C108" s="57" t="s">
        <v>32</v>
      </c>
      <c r="D108" s="57" t="s">
        <v>17</v>
      </c>
      <c r="E108" s="57" t="s">
        <v>26</v>
      </c>
      <c r="F108" s="58">
        <v>30985.08</v>
      </c>
      <c r="G108" s="57">
        <v>116611</v>
      </c>
      <c r="H108" s="57">
        <v>12842</v>
      </c>
      <c r="I108" s="57">
        <v>180</v>
      </c>
      <c r="J108" s="58">
        <v>30365.378400000001</v>
      </c>
      <c r="K108" s="55">
        <f t="shared" si="4"/>
        <v>-2.0000000000000011E-2</v>
      </c>
      <c r="L108" s="56">
        <f t="shared" si="5"/>
        <v>-2.0000000000000011E-2</v>
      </c>
      <c r="M108" s="56" t="str">
        <f t="shared" si="6"/>
        <v/>
      </c>
      <c r="N108" s="56" t="str">
        <f t="shared" si="7"/>
        <v>OK</v>
      </c>
      <c r="O108" s="2"/>
      <c r="P108" s="27"/>
      <c r="Q108" s="2"/>
      <c r="R108" s="2"/>
    </row>
    <row r="109" spans="1:18" x14ac:dyDescent="0.35">
      <c r="A109" s="53">
        <v>687</v>
      </c>
      <c r="B109" s="53" t="s">
        <v>10</v>
      </c>
      <c r="C109" s="53" t="s">
        <v>31</v>
      </c>
      <c r="D109" s="53" t="s">
        <v>20</v>
      </c>
      <c r="E109" s="53" t="s">
        <v>26</v>
      </c>
      <c r="F109" s="54">
        <v>36560.11</v>
      </c>
      <c r="G109" s="53">
        <v>647787</v>
      </c>
      <c r="H109" s="53">
        <v>6863</v>
      </c>
      <c r="I109" s="53">
        <v>353</v>
      </c>
      <c r="J109" s="54">
        <v>35828.907800000001</v>
      </c>
      <c r="K109" s="55">
        <f t="shared" si="4"/>
        <v>-1.9999999999999993E-2</v>
      </c>
      <c r="L109" s="56" t="str">
        <f t="shared" si="5"/>
        <v/>
      </c>
      <c r="M109" s="56">
        <f t="shared" si="6"/>
        <v>-1.9999999999999993E-2</v>
      </c>
      <c r="N109" s="56" t="str">
        <f t="shared" si="7"/>
        <v>OK</v>
      </c>
      <c r="O109" s="2"/>
      <c r="P109" s="27"/>
      <c r="Q109" s="2"/>
      <c r="R109" s="2"/>
    </row>
    <row r="110" spans="1:18" x14ac:dyDescent="0.35">
      <c r="A110" s="53">
        <v>321</v>
      </c>
      <c r="B110" s="53" t="s">
        <v>13</v>
      </c>
      <c r="C110" s="53" t="s">
        <v>32</v>
      </c>
      <c r="D110" s="53" t="s">
        <v>19</v>
      </c>
      <c r="E110" s="53" t="s">
        <v>25</v>
      </c>
      <c r="F110" s="54">
        <v>7361.5</v>
      </c>
      <c r="G110" s="53">
        <v>482963</v>
      </c>
      <c r="H110" s="53">
        <v>11184</v>
      </c>
      <c r="I110" s="53">
        <v>164</v>
      </c>
      <c r="J110" s="54">
        <v>7214.27</v>
      </c>
      <c r="K110" s="55">
        <f t="shared" si="4"/>
        <v>-1.9999999999999941E-2</v>
      </c>
      <c r="L110" s="56">
        <f t="shared" si="5"/>
        <v>-1.9999999999999941E-2</v>
      </c>
      <c r="M110" s="56" t="str">
        <f t="shared" si="6"/>
        <v/>
      </c>
      <c r="N110" s="56" t="str">
        <f t="shared" si="7"/>
        <v>OK</v>
      </c>
      <c r="O110" s="2"/>
      <c r="P110" s="27"/>
      <c r="Q110" s="2"/>
      <c r="R110" s="2"/>
    </row>
    <row r="111" spans="1:18" x14ac:dyDescent="0.35">
      <c r="A111" s="53">
        <v>285</v>
      </c>
      <c r="B111" s="53" t="s">
        <v>14</v>
      </c>
      <c r="C111" s="53" t="s">
        <v>32</v>
      </c>
      <c r="D111" s="53" t="s">
        <v>20</v>
      </c>
      <c r="E111" s="53" t="s">
        <v>26</v>
      </c>
      <c r="F111" s="54">
        <v>18476.88</v>
      </c>
      <c r="G111" s="53">
        <v>702485</v>
      </c>
      <c r="H111" s="53">
        <v>7792</v>
      </c>
      <c r="I111" s="53">
        <v>277</v>
      </c>
      <c r="J111" s="54">
        <v>18292.111199999999</v>
      </c>
      <c r="K111" s="55">
        <f t="shared" si="4"/>
        <v>-1.0000000000000089E-2</v>
      </c>
      <c r="L111" s="56">
        <f t="shared" si="5"/>
        <v>-1.0000000000000089E-2</v>
      </c>
      <c r="M111" s="56" t="str">
        <f t="shared" si="6"/>
        <v/>
      </c>
      <c r="N111" s="56" t="str">
        <f t="shared" si="7"/>
        <v>OK</v>
      </c>
      <c r="O111" s="2"/>
      <c r="P111" s="27"/>
      <c r="Q111" s="2"/>
      <c r="R111" s="2"/>
    </row>
    <row r="112" spans="1:18" x14ac:dyDescent="0.35">
      <c r="A112" s="53">
        <v>447</v>
      </c>
      <c r="B112" s="53" t="s">
        <v>9</v>
      </c>
      <c r="C112" s="53" t="s">
        <v>31</v>
      </c>
      <c r="D112" s="53" t="s">
        <v>22</v>
      </c>
      <c r="E112" s="53" t="s">
        <v>24</v>
      </c>
      <c r="F112" s="54">
        <v>35028.07</v>
      </c>
      <c r="G112" s="53">
        <v>753088</v>
      </c>
      <c r="H112" s="53">
        <v>9321</v>
      </c>
      <c r="I112" s="53">
        <v>1441</v>
      </c>
      <c r="J112" s="54">
        <v>34677.789299999997</v>
      </c>
      <c r="K112" s="55">
        <f t="shared" si="4"/>
        <v>-1.0000000000000085E-2</v>
      </c>
      <c r="L112" s="56" t="str">
        <f t="shared" si="5"/>
        <v/>
      </c>
      <c r="M112" s="56">
        <f t="shared" si="6"/>
        <v>-1.0000000000000085E-2</v>
      </c>
      <c r="N112" s="56" t="str">
        <f t="shared" si="7"/>
        <v>OK</v>
      </c>
      <c r="O112" s="2"/>
      <c r="P112" s="27"/>
      <c r="Q112" s="2"/>
      <c r="R112" s="2"/>
    </row>
    <row r="113" spans="1:18" x14ac:dyDescent="0.35">
      <c r="A113" s="53">
        <v>581</v>
      </c>
      <c r="B113" s="53" t="s">
        <v>10</v>
      </c>
      <c r="C113" s="53" t="s">
        <v>31</v>
      </c>
      <c r="D113" s="53" t="s">
        <v>22</v>
      </c>
      <c r="E113" s="53" t="s">
        <v>25</v>
      </c>
      <c r="F113" s="54">
        <v>26072.39</v>
      </c>
      <c r="G113" s="53">
        <v>818301</v>
      </c>
      <c r="H113" s="53">
        <v>6937</v>
      </c>
      <c r="I113" s="53">
        <v>1029</v>
      </c>
      <c r="J113" s="54">
        <v>25811.666099999999</v>
      </c>
      <c r="K113" s="55">
        <f t="shared" si="4"/>
        <v>-1.0000000000000033E-2</v>
      </c>
      <c r="L113" s="56" t="str">
        <f t="shared" si="5"/>
        <v/>
      </c>
      <c r="M113" s="56">
        <f t="shared" si="6"/>
        <v>-1.0000000000000033E-2</v>
      </c>
      <c r="N113" s="56" t="str">
        <f t="shared" si="7"/>
        <v>OK</v>
      </c>
      <c r="O113" s="2"/>
      <c r="P113" s="27"/>
      <c r="Q113" s="2"/>
      <c r="R113" s="2"/>
    </row>
    <row r="114" spans="1:18" x14ac:dyDescent="0.35">
      <c r="A114" s="57">
        <v>626</v>
      </c>
      <c r="B114" s="57" t="s">
        <v>14</v>
      </c>
      <c r="C114" s="57" t="s">
        <v>32</v>
      </c>
      <c r="D114" s="57" t="s">
        <v>17</v>
      </c>
      <c r="E114" s="57" t="s">
        <v>27</v>
      </c>
      <c r="F114" s="58">
        <v>2515.94</v>
      </c>
      <c r="G114" s="57">
        <v>244864</v>
      </c>
      <c r="H114" s="57">
        <v>15186</v>
      </c>
      <c r="I114" s="57">
        <v>1916</v>
      </c>
      <c r="J114" s="58">
        <v>2490.7806</v>
      </c>
      <c r="K114" s="55">
        <f t="shared" si="4"/>
        <v>-1.0000000000000002E-2</v>
      </c>
      <c r="L114" s="56">
        <f t="shared" si="5"/>
        <v>-1.0000000000000002E-2</v>
      </c>
      <c r="M114" s="56" t="str">
        <f t="shared" si="6"/>
        <v/>
      </c>
      <c r="N114" s="56" t="str">
        <f t="shared" si="7"/>
        <v>OK</v>
      </c>
      <c r="O114" s="2"/>
      <c r="P114" s="27"/>
      <c r="Q114" s="2"/>
      <c r="R114" s="2"/>
    </row>
    <row r="115" spans="1:18" x14ac:dyDescent="0.35">
      <c r="A115" s="57">
        <v>408</v>
      </c>
      <c r="B115" s="57" t="s">
        <v>13</v>
      </c>
      <c r="C115" s="57" t="s">
        <v>32</v>
      </c>
      <c r="D115" s="57" t="s">
        <v>20</v>
      </c>
      <c r="E115" s="57" t="s">
        <v>25</v>
      </c>
      <c r="F115" s="58">
        <v>32119.37</v>
      </c>
      <c r="G115" s="57">
        <v>842595</v>
      </c>
      <c r="H115" s="57">
        <v>2796</v>
      </c>
      <c r="I115" s="57">
        <v>38</v>
      </c>
      <c r="J115" s="58">
        <v>31798.176299999999</v>
      </c>
      <c r="K115" s="55">
        <f t="shared" si="4"/>
        <v>-9.999999999999995E-3</v>
      </c>
      <c r="L115" s="56">
        <f t="shared" si="5"/>
        <v>-9.999999999999995E-3</v>
      </c>
      <c r="M115" s="56" t="str">
        <f t="shared" si="6"/>
        <v/>
      </c>
      <c r="N115" s="56" t="str">
        <f t="shared" si="7"/>
        <v>OK</v>
      </c>
      <c r="O115" s="2"/>
      <c r="P115" s="27"/>
      <c r="Q115" s="2"/>
      <c r="R115" s="2"/>
    </row>
    <row r="116" spans="1:18" x14ac:dyDescent="0.35">
      <c r="A116" s="53">
        <v>229</v>
      </c>
      <c r="B116" s="53" t="s">
        <v>11</v>
      </c>
      <c r="C116" s="53" t="s">
        <v>32</v>
      </c>
      <c r="D116" s="53" t="s">
        <v>21</v>
      </c>
      <c r="E116" s="53" t="s">
        <v>26</v>
      </c>
      <c r="F116" s="54">
        <v>21481.51</v>
      </c>
      <c r="G116" s="53">
        <v>710406</v>
      </c>
      <c r="H116" s="53">
        <v>16675</v>
      </c>
      <c r="I116" s="53">
        <v>1781</v>
      </c>
      <c r="J116" s="54">
        <v>21266.694899999999</v>
      </c>
      <c r="K116" s="55">
        <f t="shared" si="4"/>
        <v>-9.9999999999999915E-3</v>
      </c>
      <c r="L116" s="56">
        <f t="shared" si="5"/>
        <v>-9.9999999999999915E-3</v>
      </c>
      <c r="M116" s="56" t="str">
        <f t="shared" si="6"/>
        <v/>
      </c>
      <c r="N116" s="56" t="str">
        <f t="shared" si="7"/>
        <v>OK</v>
      </c>
      <c r="O116" s="2"/>
      <c r="P116" s="27"/>
      <c r="Q116" s="2"/>
      <c r="R116" s="2"/>
    </row>
    <row r="117" spans="1:18" x14ac:dyDescent="0.35">
      <c r="A117" s="57">
        <v>964</v>
      </c>
      <c r="B117" s="57" t="s">
        <v>8</v>
      </c>
      <c r="C117" s="57" t="s">
        <v>31</v>
      </c>
      <c r="D117" s="57" t="s">
        <v>22</v>
      </c>
      <c r="E117" s="57" t="s">
        <v>24</v>
      </c>
      <c r="F117" s="58">
        <v>27796.12</v>
      </c>
      <c r="G117" s="57">
        <v>341119</v>
      </c>
      <c r="H117" s="57">
        <v>9715</v>
      </c>
      <c r="I117" s="57">
        <v>1962</v>
      </c>
      <c r="J117" s="58">
        <v>27518.158800000001</v>
      </c>
      <c r="K117" s="55">
        <f t="shared" si="4"/>
        <v>-9.9999999999999256E-3</v>
      </c>
      <c r="L117" s="56" t="str">
        <f t="shared" si="5"/>
        <v/>
      </c>
      <c r="M117" s="56">
        <f t="shared" si="6"/>
        <v>-9.9999999999999256E-3</v>
      </c>
      <c r="N117" s="56" t="str">
        <f t="shared" si="7"/>
        <v>OK</v>
      </c>
      <c r="O117" s="2"/>
      <c r="P117" s="27"/>
      <c r="Q117" s="2"/>
      <c r="R117" s="2"/>
    </row>
    <row r="118" spans="1:18" x14ac:dyDescent="0.35">
      <c r="A118" s="57">
        <v>130</v>
      </c>
      <c r="B118" s="57" t="s">
        <v>12</v>
      </c>
      <c r="C118" s="57" t="s">
        <v>32</v>
      </c>
      <c r="D118" s="57" t="s">
        <v>22</v>
      </c>
      <c r="E118" s="57" t="s">
        <v>29</v>
      </c>
      <c r="F118" s="58">
        <v>8300.99</v>
      </c>
      <c r="G118" s="57">
        <v>442680</v>
      </c>
      <c r="H118" s="57">
        <v>17822</v>
      </c>
      <c r="I118" s="57">
        <v>368</v>
      </c>
      <c r="J118" s="58">
        <v>8300.99</v>
      </c>
      <c r="K118" s="55">
        <f t="shared" si="4"/>
        <v>0</v>
      </c>
      <c r="L118" s="56">
        <f t="shared" si="5"/>
        <v>0</v>
      </c>
      <c r="M118" s="56" t="str">
        <f t="shared" si="6"/>
        <v/>
      </c>
      <c r="N118" s="56" t="str">
        <f t="shared" si="7"/>
        <v>OK</v>
      </c>
      <c r="O118" s="2"/>
      <c r="P118" s="27"/>
      <c r="Q118" s="2"/>
      <c r="R118" s="2"/>
    </row>
    <row r="119" spans="1:18" x14ac:dyDescent="0.35">
      <c r="A119" s="57">
        <v>138</v>
      </c>
      <c r="B119" s="57" t="s">
        <v>11</v>
      </c>
      <c r="C119" s="57" t="s">
        <v>32</v>
      </c>
      <c r="D119" s="57" t="s">
        <v>21</v>
      </c>
      <c r="E119" s="57" t="s">
        <v>29</v>
      </c>
      <c r="F119" s="58">
        <v>6996.46</v>
      </c>
      <c r="G119" s="57">
        <v>496904</v>
      </c>
      <c r="H119" s="57">
        <v>14126</v>
      </c>
      <c r="I119" s="57">
        <v>661</v>
      </c>
      <c r="J119" s="58">
        <v>6996.46</v>
      </c>
      <c r="K119" s="55">
        <f t="shared" si="4"/>
        <v>0</v>
      </c>
      <c r="L119" s="56">
        <f t="shared" si="5"/>
        <v>0</v>
      </c>
      <c r="M119" s="56" t="str">
        <f t="shared" si="6"/>
        <v/>
      </c>
      <c r="N119" s="56" t="str">
        <f t="shared" si="7"/>
        <v>OK</v>
      </c>
      <c r="O119" s="2"/>
      <c r="P119" s="27"/>
      <c r="Q119" s="2"/>
      <c r="R119" s="2"/>
    </row>
    <row r="120" spans="1:18" x14ac:dyDescent="0.35">
      <c r="A120" s="57">
        <v>158</v>
      </c>
      <c r="B120" s="57" t="s">
        <v>14</v>
      </c>
      <c r="C120" s="57" t="s">
        <v>32</v>
      </c>
      <c r="D120" s="57" t="s">
        <v>20</v>
      </c>
      <c r="E120" s="57" t="s">
        <v>29</v>
      </c>
      <c r="F120" s="58">
        <v>49002.69</v>
      </c>
      <c r="G120" s="57">
        <v>357139</v>
      </c>
      <c r="H120" s="57">
        <v>10041</v>
      </c>
      <c r="I120" s="57">
        <v>1513</v>
      </c>
      <c r="J120" s="58">
        <v>49002.69</v>
      </c>
      <c r="K120" s="55">
        <f t="shared" si="4"/>
        <v>0</v>
      </c>
      <c r="L120" s="56">
        <f t="shared" si="5"/>
        <v>0</v>
      </c>
      <c r="M120" s="56" t="str">
        <f t="shared" si="6"/>
        <v/>
      </c>
      <c r="N120" s="56" t="str">
        <f t="shared" si="7"/>
        <v>OK</v>
      </c>
      <c r="O120" s="2"/>
      <c r="P120" s="27"/>
      <c r="Q120" s="2"/>
      <c r="R120" s="2"/>
    </row>
    <row r="121" spans="1:18" x14ac:dyDescent="0.35">
      <c r="A121" s="57">
        <v>170</v>
      </c>
      <c r="B121" s="57" t="s">
        <v>10</v>
      </c>
      <c r="C121" s="57" t="s">
        <v>31</v>
      </c>
      <c r="D121" s="57" t="s">
        <v>18</v>
      </c>
      <c r="E121" s="57" t="s">
        <v>27</v>
      </c>
      <c r="F121" s="58">
        <v>23624.91</v>
      </c>
      <c r="G121" s="57">
        <v>309188</v>
      </c>
      <c r="H121" s="57">
        <v>1241</v>
      </c>
      <c r="I121" s="57">
        <v>1573</v>
      </c>
      <c r="J121" s="58">
        <v>23624.91</v>
      </c>
      <c r="K121" s="55">
        <f t="shared" si="4"/>
        <v>0</v>
      </c>
      <c r="L121" s="56" t="str">
        <f t="shared" si="5"/>
        <v/>
      </c>
      <c r="M121" s="56">
        <f t="shared" si="6"/>
        <v>0</v>
      </c>
      <c r="N121" s="56" t="str">
        <f t="shared" si="7"/>
        <v>ERROR: Conversions &gt; Clicks</v>
      </c>
      <c r="O121" s="2"/>
      <c r="P121" s="27"/>
      <c r="Q121" s="2"/>
      <c r="R121" s="2"/>
    </row>
    <row r="122" spans="1:18" x14ac:dyDescent="0.35">
      <c r="A122" s="53">
        <v>243</v>
      </c>
      <c r="B122" s="53" t="s">
        <v>12</v>
      </c>
      <c r="C122" s="53" t="s">
        <v>32</v>
      </c>
      <c r="D122" s="53" t="s">
        <v>19</v>
      </c>
      <c r="E122" s="53" t="s">
        <v>25</v>
      </c>
      <c r="F122" s="54">
        <v>7907.02</v>
      </c>
      <c r="G122" s="53">
        <v>774629</v>
      </c>
      <c r="H122" s="53">
        <v>11586</v>
      </c>
      <c r="I122" s="53">
        <v>1211</v>
      </c>
      <c r="J122" s="54">
        <v>7907.02</v>
      </c>
      <c r="K122" s="55">
        <f t="shared" si="4"/>
        <v>0</v>
      </c>
      <c r="L122" s="56">
        <f t="shared" si="5"/>
        <v>0</v>
      </c>
      <c r="M122" s="56" t="str">
        <f t="shared" si="6"/>
        <v/>
      </c>
      <c r="N122" s="56" t="str">
        <f t="shared" si="7"/>
        <v>OK</v>
      </c>
      <c r="O122" s="2"/>
      <c r="P122" s="27"/>
      <c r="Q122" s="2"/>
      <c r="R122" s="2"/>
    </row>
    <row r="123" spans="1:18" x14ac:dyDescent="0.35">
      <c r="A123" s="53">
        <v>337</v>
      </c>
      <c r="B123" s="53" t="s">
        <v>15</v>
      </c>
      <c r="C123" s="53" t="s">
        <v>32</v>
      </c>
      <c r="D123" s="53" t="s">
        <v>22</v>
      </c>
      <c r="E123" s="53" t="s">
        <v>28</v>
      </c>
      <c r="F123" s="54">
        <v>16388.98</v>
      </c>
      <c r="G123" s="53">
        <v>386047</v>
      </c>
      <c r="H123" s="53">
        <v>14620</v>
      </c>
      <c r="I123" s="53">
        <v>1918</v>
      </c>
      <c r="J123" s="54">
        <v>16388.98</v>
      </c>
      <c r="K123" s="55">
        <f t="shared" si="4"/>
        <v>0</v>
      </c>
      <c r="L123" s="56">
        <f t="shared" si="5"/>
        <v>0</v>
      </c>
      <c r="M123" s="56" t="str">
        <f t="shared" si="6"/>
        <v/>
      </c>
      <c r="N123" s="56" t="str">
        <f t="shared" si="7"/>
        <v>OK</v>
      </c>
      <c r="O123" s="2"/>
      <c r="P123" s="27"/>
      <c r="Q123" s="2"/>
      <c r="R123" s="2"/>
    </row>
    <row r="124" spans="1:18" x14ac:dyDescent="0.35">
      <c r="A124" s="57">
        <v>548</v>
      </c>
      <c r="B124" s="57" t="s">
        <v>12</v>
      </c>
      <c r="C124" s="57" t="s">
        <v>32</v>
      </c>
      <c r="D124" s="57" t="s">
        <v>21</v>
      </c>
      <c r="E124" s="57" t="s">
        <v>27</v>
      </c>
      <c r="F124" s="58">
        <v>41621.870000000003</v>
      </c>
      <c r="G124" s="57">
        <v>322660</v>
      </c>
      <c r="H124" s="57">
        <v>1816</v>
      </c>
      <c r="I124" s="57">
        <v>896</v>
      </c>
      <c r="J124" s="58">
        <v>41621.870000000003</v>
      </c>
      <c r="K124" s="55">
        <f t="shared" si="4"/>
        <v>0</v>
      </c>
      <c r="L124" s="56">
        <f t="shared" si="5"/>
        <v>0</v>
      </c>
      <c r="M124" s="56" t="str">
        <f t="shared" si="6"/>
        <v/>
      </c>
      <c r="N124" s="56" t="str">
        <f t="shared" si="7"/>
        <v>OK</v>
      </c>
      <c r="O124" s="2"/>
      <c r="P124" s="27"/>
      <c r="Q124" s="2"/>
      <c r="R124" s="2"/>
    </row>
    <row r="125" spans="1:18" x14ac:dyDescent="0.35">
      <c r="A125" s="57">
        <v>656</v>
      </c>
      <c r="B125" s="57" t="s">
        <v>15</v>
      </c>
      <c r="C125" s="57" t="s">
        <v>32</v>
      </c>
      <c r="D125" s="57" t="s">
        <v>17</v>
      </c>
      <c r="E125" s="57" t="s">
        <v>27</v>
      </c>
      <c r="F125" s="58">
        <v>36810.080000000002</v>
      </c>
      <c r="G125" s="57">
        <v>807183</v>
      </c>
      <c r="H125" s="57">
        <v>15293</v>
      </c>
      <c r="I125" s="57">
        <v>1434</v>
      </c>
      <c r="J125" s="58">
        <v>36810.080000000002</v>
      </c>
      <c r="K125" s="55">
        <f t="shared" si="4"/>
        <v>0</v>
      </c>
      <c r="L125" s="56">
        <f t="shared" si="5"/>
        <v>0</v>
      </c>
      <c r="M125" s="56" t="str">
        <f t="shared" si="6"/>
        <v/>
      </c>
      <c r="N125" s="56" t="str">
        <f t="shared" si="7"/>
        <v>OK</v>
      </c>
      <c r="O125" s="2"/>
      <c r="P125" s="27"/>
      <c r="Q125" s="2"/>
      <c r="R125" s="2"/>
    </row>
    <row r="126" spans="1:18" x14ac:dyDescent="0.35">
      <c r="A126" s="57">
        <v>736</v>
      </c>
      <c r="B126" s="57" t="s">
        <v>9</v>
      </c>
      <c r="C126" s="57" t="s">
        <v>31</v>
      </c>
      <c r="D126" s="57" t="s">
        <v>17</v>
      </c>
      <c r="E126" s="57" t="s">
        <v>28</v>
      </c>
      <c r="F126" s="58">
        <v>36434.32</v>
      </c>
      <c r="G126" s="57">
        <v>758149</v>
      </c>
      <c r="H126" s="57">
        <v>3031</v>
      </c>
      <c r="I126" s="57">
        <v>1043</v>
      </c>
      <c r="J126" s="58">
        <v>36434.32</v>
      </c>
      <c r="K126" s="55">
        <f t="shared" si="4"/>
        <v>0</v>
      </c>
      <c r="L126" s="56" t="str">
        <f t="shared" si="5"/>
        <v/>
      </c>
      <c r="M126" s="56">
        <f t="shared" si="6"/>
        <v>0</v>
      </c>
      <c r="N126" s="56" t="str">
        <f t="shared" si="7"/>
        <v>OK</v>
      </c>
      <c r="O126" s="2"/>
      <c r="P126" s="27"/>
      <c r="Q126" s="2"/>
      <c r="R126" s="2"/>
    </row>
    <row r="127" spans="1:18" x14ac:dyDescent="0.35">
      <c r="A127" s="57">
        <v>768</v>
      </c>
      <c r="B127" s="57" t="s">
        <v>13</v>
      </c>
      <c r="C127" s="57" t="s">
        <v>32</v>
      </c>
      <c r="D127" s="57" t="s">
        <v>19</v>
      </c>
      <c r="E127" s="57" t="s">
        <v>24</v>
      </c>
      <c r="F127" s="58">
        <v>11516.78</v>
      </c>
      <c r="G127" s="57">
        <v>549243</v>
      </c>
      <c r="H127" s="57">
        <v>17496</v>
      </c>
      <c r="I127" s="57">
        <v>1803</v>
      </c>
      <c r="J127" s="58">
        <v>11516.78</v>
      </c>
      <c r="K127" s="55">
        <f t="shared" si="4"/>
        <v>0</v>
      </c>
      <c r="L127" s="56">
        <f t="shared" si="5"/>
        <v>0</v>
      </c>
      <c r="M127" s="56" t="str">
        <f t="shared" si="6"/>
        <v/>
      </c>
      <c r="N127" s="56" t="str">
        <f t="shared" si="7"/>
        <v>OK</v>
      </c>
      <c r="O127" s="2"/>
      <c r="P127" s="27"/>
      <c r="Q127" s="2"/>
      <c r="R127" s="2"/>
    </row>
    <row r="128" spans="1:18" x14ac:dyDescent="0.35">
      <c r="A128" s="53">
        <v>613</v>
      </c>
      <c r="B128" s="53" t="s">
        <v>12</v>
      </c>
      <c r="C128" s="53" t="s">
        <v>32</v>
      </c>
      <c r="D128" s="53" t="s">
        <v>19</v>
      </c>
      <c r="E128" s="53" t="s">
        <v>24</v>
      </c>
      <c r="F128" s="54">
        <v>8206.0300000000007</v>
      </c>
      <c r="G128" s="53">
        <v>797446</v>
      </c>
      <c r="H128" s="53">
        <v>17469</v>
      </c>
      <c r="I128" s="53">
        <v>1691</v>
      </c>
      <c r="J128" s="54">
        <v>8288.0902999999998</v>
      </c>
      <c r="K128" s="55">
        <f t="shared" si="4"/>
        <v>9.9999999999998996E-3</v>
      </c>
      <c r="L128" s="56">
        <f t="shared" si="5"/>
        <v>9.9999999999998996E-3</v>
      </c>
      <c r="M128" s="56" t="str">
        <f t="shared" si="6"/>
        <v/>
      </c>
      <c r="N128" s="56" t="str">
        <f t="shared" si="7"/>
        <v>OK</v>
      </c>
      <c r="O128" s="2"/>
      <c r="P128" s="27"/>
      <c r="Q128" s="2"/>
      <c r="R128" s="2"/>
    </row>
    <row r="129" spans="1:18" x14ac:dyDescent="0.35">
      <c r="A129" s="53">
        <v>21</v>
      </c>
      <c r="B129" s="53" t="s">
        <v>10</v>
      </c>
      <c r="C129" s="53" t="s">
        <v>31</v>
      </c>
      <c r="D129" s="53" t="s">
        <v>22</v>
      </c>
      <c r="E129" s="53" t="s">
        <v>25</v>
      </c>
      <c r="F129" s="54">
        <v>6583.88</v>
      </c>
      <c r="G129" s="53">
        <v>380858</v>
      </c>
      <c r="H129" s="53">
        <v>957</v>
      </c>
      <c r="I129" s="53">
        <v>617</v>
      </c>
      <c r="J129" s="54">
        <v>6649.7187999999996</v>
      </c>
      <c r="K129" s="55">
        <f t="shared" si="4"/>
        <v>9.9999999999999291E-3</v>
      </c>
      <c r="L129" s="56" t="str">
        <f t="shared" si="5"/>
        <v/>
      </c>
      <c r="M129" s="56">
        <f t="shared" si="6"/>
        <v>9.9999999999999291E-3</v>
      </c>
      <c r="N129" s="56" t="str">
        <f t="shared" si="7"/>
        <v>OK</v>
      </c>
      <c r="O129" s="2"/>
      <c r="P129" s="27"/>
      <c r="Q129" s="2"/>
      <c r="R129" s="2"/>
    </row>
    <row r="130" spans="1:18" x14ac:dyDescent="0.35">
      <c r="A130" s="53">
        <v>725</v>
      </c>
      <c r="B130" s="53" t="s">
        <v>11</v>
      </c>
      <c r="C130" s="53" t="s">
        <v>32</v>
      </c>
      <c r="D130" s="53" t="s">
        <v>19</v>
      </c>
      <c r="E130" s="53" t="s">
        <v>26</v>
      </c>
      <c r="F130" s="54">
        <v>17747.34</v>
      </c>
      <c r="G130" s="53">
        <v>434032</v>
      </c>
      <c r="H130" s="53">
        <v>11633</v>
      </c>
      <c r="I130" s="53">
        <v>1679</v>
      </c>
      <c r="J130" s="54">
        <v>17924.813399999999</v>
      </c>
      <c r="K130" s="55">
        <f t="shared" ref="K130:K193" si="8">(J130-F130)/F130</f>
        <v>9.9999999999999412E-3</v>
      </c>
      <c r="L130" s="56">
        <f t="shared" ref="L130:L193" si="9">IF(C130="Digital",K130,"")</f>
        <v>9.9999999999999412E-3</v>
      </c>
      <c r="M130" s="56" t="str">
        <f t="shared" ref="M130:M193" si="10">IF(C130="Traditional",K130,"")</f>
        <v/>
      </c>
      <c r="N130" s="56" t="str">
        <f t="shared" ref="N130:N193" si="11">IF(H130&gt;G130,"ERROR: Clicks &gt; Impressions",IF(I130&gt;H130,"ERROR: Conversions &gt; Clicks","OK"))</f>
        <v>OK</v>
      </c>
      <c r="O130" s="2"/>
      <c r="P130" s="27"/>
      <c r="Q130" s="2"/>
      <c r="R130" s="2"/>
    </row>
    <row r="131" spans="1:18" x14ac:dyDescent="0.35">
      <c r="A131" s="57">
        <v>506</v>
      </c>
      <c r="B131" s="57" t="s">
        <v>11</v>
      </c>
      <c r="C131" s="57" t="s">
        <v>32</v>
      </c>
      <c r="D131" s="57" t="s">
        <v>21</v>
      </c>
      <c r="E131" s="57" t="s">
        <v>29</v>
      </c>
      <c r="F131" s="58">
        <v>46541.91</v>
      </c>
      <c r="G131" s="57">
        <v>196633</v>
      </c>
      <c r="H131" s="57">
        <v>7095</v>
      </c>
      <c r="I131" s="57">
        <v>1551</v>
      </c>
      <c r="J131" s="58">
        <v>47007.329100000003</v>
      </c>
      <c r="K131" s="55">
        <f t="shared" si="8"/>
        <v>9.9999999999999811E-3</v>
      </c>
      <c r="L131" s="56">
        <f t="shared" si="9"/>
        <v>9.9999999999999811E-3</v>
      </c>
      <c r="M131" s="56" t="str">
        <f t="shared" si="10"/>
        <v/>
      </c>
      <c r="N131" s="56" t="str">
        <f t="shared" si="11"/>
        <v>OK</v>
      </c>
      <c r="O131" s="2"/>
      <c r="P131" s="27"/>
      <c r="Q131" s="2"/>
      <c r="R131" s="2"/>
    </row>
    <row r="132" spans="1:18" x14ac:dyDescent="0.35">
      <c r="A132" s="57">
        <v>830</v>
      </c>
      <c r="B132" s="57" t="s">
        <v>13</v>
      </c>
      <c r="C132" s="57" t="s">
        <v>32</v>
      </c>
      <c r="D132" s="57" t="s">
        <v>21</v>
      </c>
      <c r="E132" s="57" t="s">
        <v>24</v>
      </c>
      <c r="F132" s="58">
        <v>47255.13</v>
      </c>
      <c r="G132" s="57">
        <v>217772</v>
      </c>
      <c r="H132" s="57">
        <v>791</v>
      </c>
      <c r="I132" s="57">
        <v>1667</v>
      </c>
      <c r="J132" s="58">
        <v>47727.681299999997</v>
      </c>
      <c r="K132" s="55">
        <f t="shared" si="8"/>
        <v>9.9999999999999829E-3</v>
      </c>
      <c r="L132" s="56">
        <f t="shared" si="9"/>
        <v>9.9999999999999829E-3</v>
      </c>
      <c r="M132" s="56" t="str">
        <f t="shared" si="10"/>
        <v/>
      </c>
      <c r="N132" s="56" t="str">
        <f t="shared" si="11"/>
        <v>ERROR: Conversions &gt; Clicks</v>
      </c>
      <c r="O132" s="2"/>
      <c r="P132" s="27"/>
      <c r="Q132" s="2"/>
      <c r="R132" s="2"/>
    </row>
    <row r="133" spans="1:18" x14ac:dyDescent="0.35">
      <c r="A133" s="57">
        <v>962</v>
      </c>
      <c r="B133" s="57" t="s">
        <v>11</v>
      </c>
      <c r="C133" s="57" t="s">
        <v>32</v>
      </c>
      <c r="D133" s="57" t="s">
        <v>20</v>
      </c>
      <c r="E133" s="57" t="s">
        <v>26</v>
      </c>
      <c r="F133" s="58">
        <v>46504.35</v>
      </c>
      <c r="G133" s="57">
        <v>786505</v>
      </c>
      <c r="H133" s="57">
        <v>17146</v>
      </c>
      <c r="I133" s="57">
        <v>1331</v>
      </c>
      <c r="J133" s="58">
        <v>46969.393499999998</v>
      </c>
      <c r="K133" s="55">
        <f t="shared" si="8"/>
        <v>9.999999999999995E-3</v>
      </c>
      <c r="L133" s="56">
        <f t="shared" si="9"/>
        <v>9.999999999999995E-3</v>
      </c>
      <c r="M133" s="56" t="str">
        <f t="shared" si="10"/>
        <v/>
      </c>
      <c r="N133" s="56" t="str">
        <f t="shared" si="11"/>
        <v>OK</v>
      </c>
      <c r="O133" s="2"/>
      <c r="P133" s="27"/>
      <c r="Q133" s="2"/>
      <c r="R133" s="2"/>
    </row>
    <row r="134" spans="1:18" x14ac:dyDescent="0.35">
      <c r="A134" s="57">
        <v>364</v>
      </c>
      <c r="B134" s="57" t="s">
        <v>14</v>
      </c>
      <c r="C134" s="57" t="s">
        <v>32</v>
      </c>
      <c r="D134" s="57" t="s">
        <v>19</v>
      </c>
      <c r="E134" s="57" t="s">
        <v>28</v>
      </c>
      <c r="F134" s="58">
        <v>33108.839999999997</v>
      </c>
      <c r="G134" s="57">
        <v>415105</v>
      </c>
      <c r="H134" s="57">
        <v>15732</v>
      </c>
      <c r="I134" s="57">
        <v>1205</v>
      </c>
      <c r="J134" s="58">
        <v>33439.928399999997</v>
      </c>
      <c r="K134" s="55">
        <f t="shared" si="8"/>
        <v>1.0000000000000018E-2</v>
      </c>
      <c r="L134" s="56">
        <f t="shared" si="9"/>
        <v>1.0000000000000018E-2</v>
      </c>
      <c r="M134" s="56" t="str">
        <f t="shared" si="10"/>
        <v/>
      </c>
      <c r="N134" s="56" t="str">
        <f t="shared" si="11"/>
        <v>OK</v>
      </c>
      <c r="O134" s="2"/>
      <c r="P134" s="27"/>
      <c r="Q134" s="2"/>
      <c r="R134" s="2"/>
    </row>
    <row r="135" spans="1:18" x14ac:dyDescent="0.35">
      <c r="A135" s="53">
        <v>97</v>
      </c>
      <c r="B135" s="53" t="s">
        <v>14</v>
      </c>
      <c r="C135" s="53" t="s">
        <v>32</v>
      </c>
      <c r="D135" s="53" t="s">
        <v>21</v>
      </c>
      <c r="E135" s="53" t="s">
        <v>28</v>
      </c>
      <c r="F135" s="54">
        <v>38175.14</v>
      </c>
      <c r="G135" s="53">
        <v>94700</v>
      </c>
      <c r="H135" s="53">
        <v>2950</v>
      </c>
      <c r="I135" s="53">
        <v>1584</v>
      </c>
      <c r="J135" s="54">
        <v>38556.8914</v>
      </c>
      <c r="K135" s="55">
        <f t="shared" si="8"/>
        <v>1.0000000000000026E-2</v>
      </c>
      <c r="L135" s="56">
        <f t="shared" si="9"/>
        <v>1.0000000000000026E-2</v>
      </c>
      <c r="M135" s="56" t="str">
        <f t="shared" si="10"/>
        <v/>
      </c>
      <c r="N135" s="56" t="str">
        <f t="shared" si="11"/>
        <v>OK</v>
      </c>
      <c r="O135" s="2"/>
      <c r="P135" s="27"/>
      <c r="Q135" s="2"/>
      <c r="R135" s="2"/>
    </row>
    <row r="136" spans="1:18" x14ac:dyDescent="0.35">
      <c r="A136" s="53">
        <v>363</v>
      </c>
      <c r="B136" s="53" t="s">
        <v>11</v>
      </c>
      <c r="C136" s="53" t="s">
        <v>32</v>
      </c>
      <c r="D136" s="53" t="s">
        <v>22</v>
      </c>
      <c r="E136" s="53" t="s">
        <v>25</v>
      </c>
      <c r="F136" s="54">
        <v>9189.4699999999993</v>
      </c>
      <c r="G136" s="53">
        <v>923858</v>
      </c>
      <c r="H136" s="53">
        <v>18480</v>
      </c>
      <c r="I136" s="53">
        <v>1483</v>
      </c>
      <c r="J136" s="54">
        <v>9281.3647000000001</v>
      </c>
      <c r="K136" s="55">
        <f t="shared" si="8"/>
        <v>1.0000000000000082E-2</v>
      </c>
      <c r="L136" s="56">
        <f t="shared" si="9"/>
        <v>1.0000000000000082E-2</v>
      </c>
      <c r="M136" s="56" t="str">
        <f t="shared" si="10"/>
        <v/>
      </c>
      <c r="N136" s="56" t="str">
        <f t="shared" si="11"/>
        <v>OK</v>
      </c>
      <c r="O136" s="2"/>
      <c r="P136" s="27"/>
      <c r="Q136" s="2"/>
      <c r="R136" s="2"/>
    </row>
    <row r="137" spans="1:18" x14ac:dyDescent="0.35">
      <c r="A137" s="57">
        <v>8</v>
      </c>
      <c r="B137" s="57" t="s">
        <v>15</v>
      </c>
      <c r="C137" s="57" t="s">
        <v>32</v>
      </c>
      <c r="D137" s="57" t="s">
        <v>19</v>
      </c>
      <c r="E137" s="57" t="s">
        <v>24</v>
      </c>
      <c r="F137" s="58">
        <v>12164.28</v>
      </c>
      <c r="G137" s="57">
        <v>659969</v>
      </c>
      <c r="H137" s="57">
        <v>7504</v>
      </c>
      <c r="I137" s="57">
        <v>1823</v>
      </c>
      <c r="J137" s="58">
        <v>12407.5656</v>
      </c>
      <c r="K137" s="55">
        <f t="shared" si="8"/>
        <v>1.9999999999999938E-2</v>
      </c>
      <c r="L137" s="56">
        <f t="shared" si="9"/>
        <v>1.9999999999999938E-2</v>
      </c>
      <c r="M137" s="56" t="str">
        <f t="shared" si="10"/>
        <v/>
      </c>
      <c r="N137" s="56" t="str">
        <f t="shared" si="11"/>
        <v>OK</v>
      </c>
      <c r="O137" s="2"/>
      <c r="P137" s="27"/>
      <c r="Q137" s="2"/>
      <c r="R137" s="2"/>
    </row>
    <row r="138" spans="1:18" x14ac:dyDescent="0.35">
      <c r="A138" s="53">
        <v>561</v>
      </c>
      <c r="B138" s="53" t="s">
        <v>12</v>
      </c>
      <c r="C138" s="53" t="s">
        <v>32</v>
      </c>
      <c r="D138" s="53" t="s">
        <v>21</v>
      </c>
      <c r="E138" s="53" t="s">
        <v>25</v>
      </c>
      <c r="F138" s="54">
        <v>4301.84</v>
      </c>
      <c r="G138" s="53">
        <v>54816</v>
      </c>
      <c r="H138" s="53">
        <v>5039</v>
      </c>
      <c r="I138" s="53">
        <v>1322</v>
      </c>
      <c r="J138" s="54">
        <v>4387.8768</v>
      </c>
      <c r="K138" s="55">
        <f t="shared" si="8"/>
        <v>1.9999999999999966E-2</v>
      </c>
      <c r="L138" s="56">
        <f t="shared" si="9"/>
        <v>1.9999999999999966E-2</v>
      </c>
      <c r="M138" s="56" t="str">
        <f t="shared" si="10"/>
        <v/>
      </c>
      <c r="N138" s="56" t="str">
        <f t="shared" si="11"/>
        <v>OK</v>
      </c>
      <c r="O138" s="2"/>
      <c r="P138" s="27"/>
      <c r="Q138" s="2"/>
      <c r="R138" s="2"/>
    </row>
    <row r="139" spans="1:18" x14ac:dyDescent="0.35">
      <c r="A139" s="57">
        <v>682</v>
      </c>
      <c r="B139" s="57" t="s">
        <v>15</v>
      </c>
      <c r="C139" s="57" t="s">
        <v>32</v>
      </c>
      <c r="D139" s="57" t="s">
        <v>20</v>
      </c>
      <c r="E139" s="57" t="s">
        <v>26</v>
      </c>
      <c r="F139" s="58">
        <v>28572.87</v>
      </c>
      <c r="G139" s="57">
        <v>277247</v>
      </c>
      <c r="H139" s="57">
        <v>7649</v>
      </c>
      <c r="I139" s="57">
        <v>155</v>
      </c>
      <c r="J139" s="58">
        <v>29144.327399999998</v>
      </c>
      <c r="K139" s="55">
        <f t="shared" si="8"/>
        <v>1.9999999999999976E-2</v>
      </c>
      <c r="L139" s="56">
        <f t="shared" si="9"/>
        <v>1.9999999999999976E-2</v>
      </c>
      <c r="M139" s="56" t="str">
        <f t="shared" si="10"/>
        <v/>
      </c>
      <c r="N139" s="56" t="str">
        <f t="shared" si="11"/>
        <v>OK</v>
      </c>
      <c r="O139" s="2"/>
      <c r="P139" s="27"/>
      <c r="Q139" s="2"/>
      <c r="R139" s="2"/>
    </row>
    <row r="140" spans="1:18" x14ac:dyDescent="0.35">
      <c r="A140" s="53">
        <v>867</v>
      </c>
      <c r="B140" s="53" t="s">
        <v>15</v>
      </c>
      <c r="C140" s="53" t="s">
        <v>32</v>
      </c>
      <c r="D140" s="53" t="s">
        <v>22</v>
      </c>
      <c r="E140" s="53" t="s">
        <v>28</v>
      </c>
      <c r="F140" s="54">
        <v>33676.47</v>
      </c>
      <c r="G140" s="53">
        <v>61831</v>
      </c>
      <c r="H140" s="53">
        <v>8307</v>
      </c>
      <c r="I140" s="53">
        <v>879</v>
      </c>
      <c r="J140" s="54">
        <v>34349.999400000001</v>
      </c>
      <c r="K140" s="55">
        <f t="shared" si="8"/>
        <v>1.9999999999999983E-2</v>
      </c>
      <c r="L140" s="56">
        <f t="shared" si="9"/>
        <v>1.9999999999999983E-2</v>
      </c>
      <c r="M140" s="56" t="str">
        <f t="shared" si="10"/>
        <v/>
      </c>
      <c r="N140" s="56" t="str">
        <f t="shared" si="11"/>
        <v>OK</v>
      </c>
      <c r="O140" s="2"/>
      <c r="P140" s="27"/>
      <c r="Q140" s="2"/>
      <c r="R140" s="2"/>
    </row>
    <row r="141" spans="1:18" x14ac:dyDescent="0.35">
      <c r="A141" s="53">
        <v>721</v>
      </c>
      <c r="B141" s="53" t="s">
        <v>14</v>
      </c>
      <c r="C141" s="53" t="s">
        <v>32</v>
      </c>
      <c r="D141" s="53" t="s">
        <v>19</v>
      </c>
      <c r="E141" s="53" t="s">
        <v>25</v>
      </c>
      <c r="F141" s="54">
        <v>49737.78</v>
      </c>
      <c r="G141" s="53">
        <v>91257</v>
      </c>
      <c r="H141" s="53">
        <v>19290</v>
      </c>
      <c r="I141" s="53">
        <v>1579</v>
      </c>
      <c r="J141" s="54">
        <v>50732.535600000003</v>
      </c>
      <c r="K141" s="55">
        <f t="shared" si="8"/>
        <v>2.000000000000008E-2</v>
      </c>
      <c r="L141" s="56">
        <f t="shared" si="9"/>
        <v>2.000000000000008E-2</v>
      </c>
      <c r="M141" s="56" t="str">
        <f t="shared" si="10"/>
        <v/>
      </c>
      <c r="N141" s="56" t="str">
        <f t="shared" si="11"/>
        <v>OK</v>
      </c>
      <c r="O141" s="2"/>
      <c r="P141" s="27"/>
      <c r="Q141" s="2"/>
      <c r="R141" s="2"/>
    </row>
    <row r="142" spans="1:18" x14ac:dyDescent="0.35">
      <c r="A142" s="57">
        <v>804</v>
      </c>
      <c r="B142" s="57" t="s">
        <v>11</v>
      </c>
      <c r="C142" s="57" t="s">
        <v>32</v>
      </c>
      <c r="D142" s="57" t="s">
        <v>20</v>
      </c>
      <c r="E142" s="57" t="s">
        <v>26</v>
      </c>
      <c r="F142" s="58">
        <v>5053.0600000000004</v>
      </c>
      <c r="G142" s="57">
        <v>804760</v>
      </c>
      <c r="H142" s="57">
        <v>6224</v>
      </c>
      <c r="I142" s="57">
        <v>1791</v>
      </c>
      <c r="J142" s="58">
        <v>5204.6517999999996</v>
      </c>
      <c r="K142" s="55">
        <f t="shared" si="8"/>
        <v>2.9999999999999846E-2</v>
      </c>
      <c r="L142" s="56">
        <f t="shared" si="9"/>
        <v>2.9999999999999846E-2</v>
      </c>
      <c r="M142" s="56" t="str">
        <f t="shared" si="10"/>
        <v/>
      </c>
      <c r="N142" s="56" t="str">
        <f t="shared" si="11"/>
        <v>OK</v>
      </c>
      <c r="O142" s="2"/>
      <c r="P142" s="27"/>
      <c r="Q142" s="2"/>
      <c r="R142" s="2"/>
    </row>
    <row r="143" spans="1:18" x14ac:dyDescent="0.35">
      <c r="A143" s="53">
        <v>373</v>
      </c>
      <c r="B143" s="53" t="s">
        <v>14</v>
      </c>
      <c r="C143" s="53" t="s">
        <v>32</v>
      </c>
      <c r="D143" s="53" t="s">
        <v>22</v>
      </c>
      <c r="E143" s="53" t="s">
        <v>26</v>
      </c>
      <c r="F143" s="54">
        <v>38394.61</v>
      </c>
      <c r="G143" s="53">
        <v>344971</v>
      </c>
      <c r="H143" s="53">
        <v>414</v>
      </c>
      <c r="I143" s="53">
        <v>1796</v>
      </c>
      <c r="J143" s="54">
        <v>39546.448299999996</v>
      </c>
      <c r="K143" s="55">
        <f t="shared" si="8"/>
        <v>2.9999999999999891E-2</v>
      </c>
      <c r="L143" s="56">
        <f t="shared" si="9"/>
        <v>2.9999999999999891E-2</v>
      </c>
      <c r="M143" s="56" t="str">
        <f t="shared" si="10"/>
        <v/>
      </c>
      <c r="N143" s="56" t="str">
        <f t="shared" si="11"/>
        <v>ERROR: Conversions &gt; Clicks</v>
      </c>
      <c r="O143" s="2"/>
      <c r="P143" s="27"/>
      <c r="Q143" s="2"/>
      <c r="R143" s="2"/>
    </row>
    <row r="144" spans="1:18" x14ac:dyDescent="0.35">
      <c r="A144" s="53">
        <v>939</v>
      </c>
      <c r="B144" s="53" t="s">
        <v>10</v>
      </c>
      <c r="C144" s="53" t="s">
        <v>31</v>
      </c>
      <c r="D144" s="53" t="s">
        <v>20</v>
      </c>
      <c r="E144" s="53" t="s">
        <v>29</v>
      </c>
      <c r="F144" s="54">
        <v>26835.99</v>
      </c>
      <c r="G144" s="53">
        <v>119162</v>
      </c>
      <c r="H144" s="53">
        <v>8818</v>
      </c>
      <c r="I144" s="53">
        <v>678</v>
      </c>
      <c r="J144" s="54">
        <v>27641.0697</v>
      </c>
      <c r="K144" s="55">
        <f t="shared" si="8"/>
        <v>2.999999999999994E-2</v>
      </c>
      <c r="L144" s="56" t="str">
        <f t="shared" si="9"/>
        <v/>
      </c>
      <c r="M144" s="56">
        <f t="shared" si="10"/>
        <v>2.999999999999994E-2</v>
      </c>
      <c r="N144" s="56" t="str">
        <f t="shared" si="11"/>
        <v>OK</v>
      </c>
      <c r="O144" s="2"/>
      <c r="P144" s="27"/>
      <c r="Q144" s="2"/>
      <c r="R144" s="2"/>
    </row>
    <row r="145" spans="1:18" x14ac:dyDescent="0.35">
      <c r="A145" s="53">
        <v>35</v>
      </c>
      <c r="B145" s="53" t="s">
        <v>10</v>
      </c>
      <c r="C145" s="53" t="s">
        <v>31</v>
      </c>
      <c r="D145" s="53" t="s">
        <v>22</v>
      </c>
      <c r="E145" s="53" t="s">
        <v>24</v>
      </c>
      <c r="F145" s="54">
        <v>14415.77</v>
      </c>
      <c r="G145" s="53">
        <v>768108</v>
      </c>
      <c r="H145" s="53">
        <v>12280</v>
      </c>
      <c r="I145" s="53">
        <v>1928</v>
      </c>
      <c r="J145" s="54">
        <v>14848.2431</v>
      </c>
      <c r="K145" s="55">
        <f t="shared" si="8"/>
        <v>2.9999999999999947E-2</v>
      </c>
      <c r="L145" s="56" t="str">
        <f t="shared" si="9"/>
        <v/>
      </c>
      <c r="M145" s="56">
        <f t="shared" si="10"/>
        <v>2.9999999999999947E-2</v>
      </c>
      <c r="N145" s="56" t="str">
        <f t="shared" si="11"/>
        <v>OK</v>
      </c>
      <c r="O145" s="2"/>
      <c r="P145" s="27"/>
      <c r="Q145" s="2"/>
      <c r="R145" s="2"/>
    </row>
    <row r="146" spans="1:18" x14ac:dyDescent="0.35">
      <c r="A146" s="53">
        <v>691</v>
      </c>
      <c r="B146" s="53" t="s">
        <v>14</v>
      </c>
      <c r="C146" s="53" t="s">
        <v>32</v>
      </c>
      <c r="D146" s="53" t="s">
        <v>17</v>
      </c>
      <c r="E146" s="53" t="s">
        <v>29</v>
      </c>
      <c r="F146" s="54">
        <v>30503.73</v>
      </c>
      <c r="G146" s="53">
        <v>467666</v>
      </c>
      <c r="H146" s="53">
        <v>8579</v>
      </c>
      <c r="I146" s="53">
        <v>10</v>
      </c>
      <c r="J146" s="54">
        <v>31418.841899999999</v>
      </c>
      <c r="K146" s="55">
        <f t="shared" si="8"/>
        <v>2.9999999999999995E-2</v>
      </c>
      <c r="L146" s="56">
        <f t="shared" si="9"/>
        <v>2.9999999999999995E-2</v>
      </c>
      <c r="M146" s="56" t="str">
        <f t="shared" si="10"/>
        <v/>
      </c>
      <c r="N146" s="56" t="str">
        <f t="shared" si="11"/>
        <v>OK</v>
      </c>
      <c r="O146" s="2"/>
      <c r="P146" s="27"/>
      <c r="Q146" s="2"/>
      <c r="R146" s="2"/>
    </row>
    <row r="147" spans="1:18" x14ac:dyDescent="0.35">
      <c r="A147" s="57">
        <v>540</v>
      </c>
      <c r="B147" s="57" t="s">
        <v>14</v>
      </c>
      <c r="C147" s="57" t="s">
        <v>32</v>
      </c>
      <c r="D147" s="57" t="s">
        <v>21</v>
      </c>
      <c r="E147" s="57" t="s">
        <v>25</v>
      </c>
      <c r="F147" s="58">
        <v>25605.53</v>
      </c>
      <c r="G147" s="57">
        <v>867253</v>
      </c>
      <c r="H147" s="57">
        <v>10278</v>
      </c>
      <c r="I147" s="57">
        <v>383</v>
      </c>
      <c r="J147" s="58">
        <v>26373.695899999999</v>
      </c>
      <c r="K147" s="55">
        <f t="shared" si="8"/>
        <v>0.03</v>
      </c>
      <c r="L147" s="56">
        <f t="shared" si="9"/>
        <v>0.03</v>
      </c>
      <c r="M147" s="56" t="str">
        <f t="shared" si="10"/>
        <v/>
      </c>
      <c r="N147" s="56" t="str">
        <f t="shared" si="11"/>
        <v>OK</v>
      </c>
      <c r="O147" s="2"/>
      <c r="P147" s="27"/>
      <c r="Q147" s="2"/>
      <c r="R147" s="2"/>
    </row>
    <row r="148" spans="1:18" x14ac:dyDescent="0.35">
      <c r="A148" s="53">
        <v>875</v>
      </c>
      <c r="B148" s="53" t="s">
        <v>14</v>
      </c>
      <c r="C148" s="53" t="s">
        <v>32</v>
      </c>
      <c r="D148" s="53" t="s">
        <v>18</v>
      </c>
      <c r="E148" s="53" t="s">
        <v>26</v>
      </c>
      <c r="F148" s="54">
        <v>42075</v>
      </c>
      <c r="G148" s="53">
        <v>822395</v>
      </c>
      <c r="H148" s="53">
        <v>19882</v>
      </c>
      <c r="I148" s="53">
        <v>1023</v>
      </c>
      <c r="J148" s="54">
        <v>43337.25</v>
      </c>
      <c r="K148" s="55">
        <f t="shared" si="8"/>
        <v>0.03</v>
      </c>
      <c r="L148" s="56">
        <f t="shared" si="9"/>
        <v>0.03</v>
      </c>
      <c r="M148" s="56" t="str">
        <f t="shared" si="10"/>
        <v/>
      </c>
      <c r="N148" s="56" t="str">
        <f t="shared" si="11"/>
        <v>OK</v>
      </c>
      <c r="O148" s="2"/>
      <c r="P148" s="27"/>
      <c r="Q148" s="2"/>
      <c r="R148" s="2"/>
    </row>
    <row r="149" spans="1:18" x14ac:dyDescent="0.35">
      <c r="A149" s="53">
        <v>103</v>
      </c>
      <c r="B149" s="53" t="s">
        <v>14</v>
      </c>
      <c r="C149" s="53" t="s">
        <v>32</v>
      </c>
      <c r="D149" s="53" t="s">
        <v>20</v>
      </c>
      <c r="E149" s="53" t="s">
        <v>29</v>
      </c>
      <c r="F149" s="54">
        <v>7110.99</v>
      </c>
      <c r="G149" s="53">
        <v>56002</v>
      </c>
      <c r="H149" s="53">
        <v>19988</v>
      </c>
      <c r="I149" s="53">
        <v>675</v>
      </c>
      <c r="J149" s="54">
        <v>7324.3197</v>
      </c>
      <c r="K149" s="55">
        <f t="shared" si="8"/>
        <v>3.0000000000000034E-2</v>
      </c>
      <c r="L149" s="56">
        <f t="shared" si="9"/>
        <v>3.0000000000000034E-2</v>
      </c>
      <c r="M149" s="56" t="str">
        <f t="shared" si="10"/>
        <v/>
      </c>
      <c r="N149" s="56" t="str">
        <f t="shared" si="11"/>
        <v>OK</v>
      </c>
      <c r="O149" s="2"/>
      <c r="P149" s="27"/>
      <c r="Q149" s="2"/>
      <c r="R149" s="2"/>
    </row>
    <row r="150" spans="1:18" x14ac:dyDescent="0.35">
      <c r="A150" s="53">
        <v>383</v>
      </c>
      <c r="B150" s="53" t="s">
        <v>12</v>
      </c>
      <c r="C150" s="53" t="s">
        <v>32</v>
      </c>
      <c r="D150" s="53" t="s">
        <v>21</v>
      </c>
      <c r="E150" s="53" t="s">
        <v>26</v>
      </c>
      <c r="F150" s="54">
        <v>1009.23</v>
      </c>
      <c r="G150" s="53">
        <v>863392</v>
      </c>
      <c r="H150" s="53">
        <v>11097</v>
      </c>
      <c r="I150" s="53">
        <v>442</v>
      </c>
      <c r="J150" s="54">
        <v>1039.5069000000001</v>
      </c>
      <c r="K150" s="55">
        <f t="shared" si="8"/>
        <v>3.0000000000000068E-2</v>
      </c>
      <c r="L150" s="56">
        <f t="shared" si="9"/>
        <v>3.0000000000000068E-2</v>
      </c>
      <c r="M150" s="56" t="str">
        <f t="shared" si="10"/>
        <v/>
      </c>
      <c r="N150" s="56" t="str">
        <f t="shared" si="11"/>
        <v>OK</v>
      </c>
      <c r="O150" s="2"/>
      <c r="P150" s="27"/>
      <c r="Q150" s="2"/>
      <c r="R150" s="2"/>
    </row>
    <row r="151" spans="1:18" x14ac:dyDescent="0.35">
      <c r="A151" s="53">
        <v>707</v>
      </c>
      <c r="B151" s="53" t="s">
        <v>12</v>
      </c>
      <c r="C151" s="53" t="s">
        <v>32</v>
      </c>
      <c r="D151" s="53" t="s">
        <v>17</v>
      </c>
      <c r="E151" s="53" t="s">
        <v>27</v>
      </c>
      <c r="F151" s="54">
        <v>38367.22</v>
      </c>
      <c r="G151" s="53">
        <v>436044</v>
      </c>
      <c r="H151" s="53">
        <v>3822</v>
      </c>
      <c r="I151" s="53">
        <v>537</v>
      </c>
      <c r="J151" s="54">
        <v>39901.908799999997</v>
      </c>
      <c r="K151" s="55">
        <f t="shared" si="8"/>
        <v>3.9999999999999904E-2</v>
      </c>
      <c r="L151" s="56">
        <f t="shared" si="9"/>
        <v>3.9999999999999904E-2</v>
      </c>
      <c r="M151" s="56" t="str">
        <f t="shared" si="10"/>
        <v/>
      </c>
      <c r="N151" s="56" t="str">
        <f t="shared" si="11"/>
        <v>OK</v>
      </c>
      <c r="O151" s="2"/>
      <c r="P151" s="27"/>
      <c r="Q151" s="2"/>
      <c r="R151" s="2"/>
    </row>
    <row r="152" spans="1:18" x14ac:dyDescent="0.35">
      <c r="A152" s="57">
        <v>308</v>
      </c>
      <c r="B152" s="57" t="s">
        <v>14</v>
      </c>
      <c r="C152" s="57" t="s">
        <v>32</v>
      </c>
      <c r="D152" s="57" t="s">
        <v>17</v>
      </c>
      <c r="E152" s="57" t="s">
        <v>27</v>
      </c>
      <c r="F152" s="58">
        <v>48420.04</v>
      </c>
      <c r="G152" s="57">
        <v>837760</v>
      </c>
      <c r="H152" s="57">
        <v>2032</v>
      </c>
      <c r="I152" s="57">
        <v>1134</v>
      </c>
      <c r="J152" s="58">
        <v>50356.8416</v>
      </c>
      <c r="K152" s="55">
        <f t="shared" si="8"/>
        <v>3.9999999999999973E-2</v>
      </c>
      <c r="L152" s="56">
        <f t="shared" si="9"/>
        <v>3.9999999999999973E-2</v>
      </c>
      <c r="M152" s="56" t="str">
        <f t="shared" si="10"/>
        <v/>
      </c>
      <c r="N152" s="56" t="str">
        <f t="shared" si="11"/>
        <v>OK</v>
      </c>
      <c r="O152" s="2"/>
      <c r="P152" s="27"/>
      <c r="Q152" s="2"/>
      <c r="R152" s="2"/>
    </row>
    <row r="153" spans="1:18" x14ac:dyDescent="0.35">
      <c r="A153" s="57">
        <v>134</v>
      </c>
      <c r="B153" s="57" t="s">
        <v>15</v>
      </c>
      <c r="C153" s="57" t="s">
        <v>32</v>
      </c>
      <c r="D153" s="57" t="s">
        <v>22</v>
      </c>
      <c r="E153" s="57" t="s">
        <v>26</v>
      </c>
      <c r="F153" s="58">
        <v>11282.26</v>
      </c>
      <c r="G153" s="57">
        <v>223606</v>
      </c>
      <c r="H153" s="57">
        <v>14311</v>
      </c>
      <c r="I153" s="57">
        <v>1941</v>
      </c>
      <c r="J153" s="58">
        <v>11733.5504</v>
      </c>
      <c r="K153" s="55">
        <f t="shared" si="8"/>
        <v>3.9999999999999987E-2</v>
      </c>
      <c r="L153" s="56">
        <f t="shared" si="9"/>
        <v>3.9999999999999987E-2</v>
      </c>
      <c r="M153" s="56" t="str">
        <f t="shared" si="10"/>
        <v/>
      </c>
      <c r="N153" s="56" t="str">
        <f t="shared" si="11"/>
        <v>OK</v>
      </c>
      <c r="O153" s="2"/>
      <c r="P153" s="27"/>
      <c r="Q153" s="2"/>
      <c r="R153" s="2"/>
    </row>
    <row r="154" spans="1:18" x14ac:dyDescent="0.35">
      <c r="A154" s="57">
        <v>338</v>
      </c>
      <c r="B154" s="57" t="s">
        <v>9</v>
      </c>
      <c r="C154" s="57" t="s">
        <v>31</v>
      </c>
      <c r="D154" s="57" t="s">
        <v>17</v>
      </c>
      <c r="E154" s="57" t="s">
        <v>26</v>
      </c>
      <c r="F154" s="58">
        <v>13461.78</v>
      </c>
      <c r="G154" s="57">
        <v>863823</v>
      </c>
      <c r="H154" s="57">
        <v>11974</v>
      </c>
      <c r="I154" s="57">
        <v>181</v>
      </c>
      <c r="J154" s="58">
        <v>14000.251200000001</v>
      </c>
      <c r="K154" s="55">
        <f t="shared" si="8"/>
        <v>3.9999999999999994E-2</v>
      </c>
      <c r="L154" s="56" t="str">
        <f t="shared" si="9"/>
        <v/>
      </c>
      <c r="M154" s="56">
        <f t="shared" si="10"/>
        <v>3.9999999999999994E-2</v>
      </c>
      <c r="N154" s="56" t="str">
        <f t="shared" si="11"/>
        <v>OK</v>
      </c>
      <c r="O154" s="2"/>
      <c r="P154" s="27"/>
      <c r="Q154" s="2"/>
      <c r="R154" s="2"/>
    </row>
    <row r="155" spans="1:18" x14ac:dyDescent="0.35">
      <c r="A155" s="57">
        <v>930</v>
      </c>
      <c r="B155" s="57" t="s">
        <v>11</v>
      </c>
      <c r="C155" s="57" t="s">
        <v>32</v>
      </c>
      <c r="D155" s="57" t="s">
        <v>21</v>
      </c>
      <c r="E155" s="57" t="s">
        <v>24</v>
      </c>
      <c r="F155" s="58">
        <v>39069.47</v>
      </c>
      <c r="G155" s="57">
        <v>483146</v>
      </c>
      <c r="H155" s="57">
        <v>13846</v>
      </c>
      <c r="I155" s="57">
        <v>1821</v>
      </c>
      <c r="J155" s="58">
        <v>40632.248800000001</v>
      </c>
      <c r="K155" s="55">
        <f t="shared" si="8"/>
        <v>0.04</v>
      </c>
      <c r="L155" s="56">
        <f t="shared" si="9"/>
        <v>0.04</v>
      </c>
      <c r="M155" s="56" t="str">
        <f t="shared" si="10"/>
        <v/>
      </c>
      <c r="N155" s="56" t="str">
        <f t="shared" si="11"/>
        <v>OK</v>
      </c>
      <c r="O155" s="2"/>
      <c r="P155" s="27"/>
      <c r="Q155" s="2"/>
      <c r="R155" s="2"/>
    </row>
    <row r="156" spans="1:18" x14ac:dyDescent="0.35">
      <c r="A156" s="57">
        <v>740</v>
      </c>
      <c r="B156" s="57" t="s">
        <v>12</v>
      </c>
      <c r="C156" s="57" t="s">
        <v>32</v>
      </c>
      <c r="D156" s="57" t="s">
        <v>18</v>
      </c>
      <c r="E156" s="57" t="s">
        <v>26</v>
      </c>
      <c r="F156" s="58">
        <v>16000.73</v>
      </c>
      <c r="G156" s="57">
        <v>86240</v>
      </c>
      <c r="H156" s="57">
        <v>3071</v>
      </c>
      <c r="I156" s="57">
        <v>965</v>
      </c>
      <c r="J156" s="58">
        <v>16640.7592</v>
      </c>
      <c r="K156" s="55">
        <f t="shared" si="8"/>
        <v>4.0000000000000056E-2</v>
      </c>
      <c r="L156" s="56">
        <f t="shared" si="9"/>
        <v>4.0000000000000056E-2</v>
      </c>
      <c r="M156" s="56" t="str">
        <f t="shared" si="10"/>
        <v/>
      </c>
      <c r="N156" s="56" t="str">
        <f t="shared" si="11"/>
        <v>OK</v>
      </c>
      <c r="O156" s="2"/>
      <c r="P156" s="27"/>
      <c r="Q156" s="2"/>
      <c r="R156" s="2"/>
    </row>
    <row r="157" spans="1:18" x14ac:dyDescent="0.35">
      <c r="A157" s="53">
        <v>781</v>
      </c>
      <c r="B157" s="53" t="s">
        <v>11</v>
      </c>
      <c r="C157" s="53" t="s">
        <v>32</v>
      </c>
      <c r="D157" s="53" t="s">
        <v>20</v>
      </c>
      <c r="E157" s="53" t="s">
        <v>28</v>
      </c>
      <c r="F157" s="54">
        <v>15856.51</v>
      </c>
      <c r="G157" s="53">
        <v>109977</v>
      </c>
      <c r="H157" s="53">
        <v>15933</v>
      </c>
      <c r="I157" s="53">
        <v>200</v>
      </c>
      <c r="J157" s="54">
        <v>16490.770400000001</v>
      </c>
      <c r="K157" s="55">
        <f t="shared" si="8"/>
        <v>4.0000000000000063E-2</v>
      </c>
      <c r="L157" s="56">
        <f t="shared" si="9"/>
        <v>4.0000000000000063E-2</v>
      </c>
      <c r="M157" s="56" t="str">
        <f t="shared" si="10"/>
        <v/>
      </c>
      <c r="N157" s="56" t="str">
        <f t="shared" si="11"/>
        <v>OK</v>
      </c>
      <c r="O157" s="2"/>
      <c r="P157" s="27"/>
      <c r="Q157" s="2"/>
      <c r="R157" s="2"/>
    </row>
    <row r="158" spans="1:18" x14ac:dyDescent="0.35">
      <c r="A158" s="53">
        <v>481</v>
      </c>
      <c r="B158" s="53" t="s">
        <v>12</v>
      </c>
      <c r="C158" s="53" t="s">
        <v>32</v>
      </c>
      <c r="D158" s="53" t="s">
        <v>22</v>
      </c>
      <c r="E158" s="53" t="s">
        <v>29</v>
      </c>
      <c r="F158" s="54">
        <v>22925.94</v>
      </c>
      <c r="G158" s="53">
        <v>140356</v>
      </c>
      <c r="H158" s="53">
        <v>9690</v>
      </c>
      <c r="I158" s="53">
        <v>1829</v>
      </c>
      <c r="J158" s="54">
        <v>24301.4964</v>
      </c>
      <c r="K158" s="55">
        <f t="shared" si="8"/>
        <v>6.000000000000006E-2</v>
      </c>
      <c r="L158" s="56">
        <f t="shared" si="9"/>
        <v>6.000000000000006E-2</v>
      </c>
      <c r="M158" s="56" t="str">
        <f t="shared" si="10"/>
        <v/>
      </c>
      <c r="N158" s="56" t="str">
        <f t="shared" si="11"/>
        <v>OK</v>
      </c>
      <c r="O158" s="2"/>
      <c r="P158" s="27"/>
      <c r="Q158" s="2"/>
      <c r="R158" s="2"/>
    </row>
    <row r="159" spans="1:18" x14ac:dyDescent="0.35">
      <c r="A159" s="57">
        <v>586</v>
      </c>
      <c r="B159" s="57" t="s">
        <v>8</v>
      </c>
      <c r="C159" s="57" t="s">
        <v>31</v>
      </c>
      <c r="D159" s="57" t="s">
        <v>18</v>
      </c>
      <c r="E159" s="57" t="s">
        <v>28</v>
      </c>
      <c r="F159" s="58">
        <v>47385.58</v>
      </c>
      <c r="G159" s="57">
        <v>544730</v>
      </c>
      <c r="H159" s="57">
        <v>8969</v>
      </c>
      <c r="I159" s="57">
        <v>428</v>
      </c>
      <c r="J159" s="58">
        <v>50702.570599999999</v>
      </c>
      <c r="K159" s="55">
        <f t="shared" si="8"/>
        <v>6.9999999999999937E-2</v>
      </c>
      <c r="L159" s="56" t="str">
        <f t="shared" si="9"/>
        <v/>
      </c>
      <c r="M159" s="56">
        <f t="shared" si="10"/>
        <v>6.9999999999999937E-2</v>
      </c>
      <c r="N159" s="56" t="str">
        <f t="shared" si="11"/>
        <v>OK</v>
      </c>
      <c r="O159" s="2"/>
      <c r="P159" s="27"/>
      <c r="Q159" s="2"/>
      <c r="R159" s="2"/>
    </row>
    <row r="160" spans="1:18" x14ac:dyDescent="0.35">
      <c r="A160" s="53">
        <v>733</v>
      </c>
      <c r="B160" s="53" t="s">
        <v>11</v>
      </c>
      <c r="C160" s="53" t="s">
        <v>32</v>
      </c>
      <c r="D160" s="53" t="s">
        <v>18</v>
      </c>
      <c r="E160" s="53" t="s">
        <v>29</v>
      </c>
      <c r="F160" s="54">
        <v>35301.68</v>
      </c>
      <c r="G160" s="53">
        <v>66358</v>
      </c>
      <c r="H160" s="53">
        <v>19730</v>
      </c>
      <c r="I160" s="53">
        <v>560</v>
      </c>
      <c r="J160" s="54">
        <v>37772.797599999998</v>
      </c>
      <c r="K160" s="55">
        <f t="shared" si="8"/>
        <v>6.9999999999999937E-2</v>
      </c>
      <c r="L160" s="56">
        <f t="shared" si="9"/>
        <v>6.9999999999999937E-2</v>
      </c>
      <c r="M160" s="56" t="str">
        <f t="shared" si="10"/>
        <v/>
      </c>
      <c r="N160" s="56" t="str">
        <f t="shared" si="11"/>
        <v>OK</v>
      </c>
      <c r="O160" s="2"/>
      <c r="P160" s="27"/>
      <c r="Q160" s="2"/>
      <c r="R160" s="2"/>
    </row>
    <row r="161" spans="1:18" x14ac:dyDescent="0.35">
      <c r="A161" s="53">
        <v>469</v>
      </c>
      <c r="B161" s="53" t="s">
        <v>15</v>
      </c>
      <c r="C161" s="53" t="s">
        <v>32</v>
      </c>
      <c r="D161" s="53" t="s">
        <v>22</v>
      </c>
      <c r="E161" s="53" t="s">
        <v>28</v>
      </c>
      <c r="F161" s="54">
        <v>20941.62</v>
      </c>
      <c r="G161" s="53">
        <v>40949</v>
      </c>
      <c r="H161" s="53">
        <v>12597</v>
      </c>
      <c r="I161" s="53">
        <v>898</v>
      </c>
      <c r="J161" s="54">
        <v>22407.5334</v>
      </c>
      <c r="K161" s="55">
        <f t="shared" si="8"/>
        <v>7.0000000000000062E-2</v>
      </c>
      <c r="L161" s="56">
        <f t="shared" si="9"/>
        <v>7.0000000000000062E-2</v>
      </c>
      <c r="M161" s="56" t="str">
        <f t="shared" si="10"/>
        <v/>
      </c>
      <c r="N161" s="56" t="str">
        <f t="shared" si="11"/>
        <v>OK</v>
      </c>
      <c r="O161" s="2"/>
      <c r="P161" s="27"/>
      <c r="Q161" s="2"/>
      <c r="R161" s="2"/>
    </row>
    <row r="162" spans="1:18" x14ac:dyDescent="0.35">
      <c r="A162" s="57">
        <v>18</v>
      </c>
      <c r="B162" s="57" t="s">
        <v>13</v>
      </c>
      <c r="C162" s="57" t="s">
        <v>32</v>
      </c>
      <c r="D162" s="57" t="s">
        <v>18</v>
      </c>
      <c r="E162" s="57" t="s">
        <v>26</v>
      </c>
      <c r="F162" s="58">
        <v>16788.560000000001</v>
      </c>
      <c r="G162" s="57">
        <v>734479</v>
      </c>
      <c r="H162" s="57">
        <v>19045</v>
      </c>
      <c r="I162" s="57">
        <v>1757</v>
      </c>
      <c r="J162" s="58">
        <v>18131.644799999998</v>
      </c>
      <c r="K162" s="55">
        <f t="shared" si="8"/>
        <v>7.9999999999999807E-2</v>
      </c>
      <c r="L162" s="56">
        <f t="shared" si="9"/>
        <v>7.9999999999999807E-2</v>
      </c>
      <c r="M162" s="56" t="str">
        <f t="shared" si="10"/>
        <v/>
      </c>
      <c r="N162" s="56" t="str">
        <f t="shared" si="11"/>
        <v>OK</v>
      </c>
      <c r="O162" s="2"/>
      <c r="P162" s="27"/>
      <c r="Q162" s="2"/>
      <c r="R162" s="2"/>
    </row>
    <row r="163" spans="1:18" x14ac:dyDescent="0.35">
      <c r="A163" s="53">
        <v>837</v>
      </c>
      <c r="B163" s="53" t="s">
        <v>9</v>
      </c>
      <c r="C163" s="53" t="s">
        <v>31</v>
      </c>
      <c r="D163" s="53" t="s">
        <v>20</v>
      </c>
      <c r="E163" s="53" t="s">
        <v>26</v>
      </c>
      <c r="F163" s="54">
        <v>19870.89</v>
      </c>
      <c r="G163" s="53">
        <v>130076</v>
      </c>
      <c r="H163" s="53">
        <v>8439</v>
      </c>
      <c r="I163" s="53">
        <v>707</v>
      </c>
      <c r="J163" s="54">
        <v>21460.5612</v>
      </c>
      <c r="K163" s="55">
        <f t="shared" si="8"/>
        <v>8.0000000000000043E-2</v>
      </c>
      <c r="L163" s="56" t="str">
        <f t="shared" si="9"/>
        <v/>
      </c>
      <c r="M163" s="56">
        <f t="shared" si="10"/>
        <v>8.0000000000000043E-2</v>
      </c>
      <c r="N163" s="56" t="str">
        <f t="shared" si="11"/>
        <v>OK</v>
      </c>
      <c r="O163" s="2"/>
      <c r="P163" s="27"/>
      <c r="Q163" s="2"/>
      <c r="R163" s="2"/>
    </row>
    <row r="164" spans="1:18" x14ac:dyDescent="0.35">
      <c r="A164" s="57">
        <v>450</v>
      </c>
      <c r="B164" s="57" t="s">
        <v>10</v>
      </c>
      <c r="C164" s="57" t="s">
        <v>31</v>
      </c>
      <c r="D164" s="57" t="s">
        <v>18</v>
      </c>
      <c r="E164" s="57" t="s">
        <v>28</v>
      </c>
      <c r="F164" s="58">
        <v>23757.23</v>
      </c>
      <c r="G164" s="57">
        <v>508682</v>
      </c>
      <c r="H164" s="57">
        <v>1151</v>
      </c>
      <c r="I164" s="57">
        <v>10</v>
      </c>
      <c r="J164" s="58">
        <v>25657.808400000002</v>
      </c>
      <c r="K164" s="55">
        <f t="shared" si="8"/>
        <v>8.0000000000000099E-2</v>
      </c>
      <c r="L164" s="56" t="str">
        <f t="shared" si="9"/>
        <v/>
      </c>
      <c r="M164" s="56">
        <f t="shared" si="10"/>
        <v>8.0000000000000099E-2</v>
      </c>
      <c r="N164" s="56" t="str">
        <f t="shared" si="11"/>
        <v>OK</v>
      </c>
      <c r="O164" s="2"/>
      <c r="P164" s="27"/>
      <c r="Q164" s="2"/>
      <c r="R164" s="2"/>
    </row>
    <row r="165" spans="1:18" x14ac:dyDescent="0.35">
      <c r="A165" s="53">
        <v>131</v>
      </c>
      <c r="B165" s="53" t="s">
        <v>12</v>
      </c>
      <c r="C165" s="53" t="s">
        <v>32</v>
      </c>
      <c r="D165" s="53" t="s">
        <v>17</v>
      </c>
      <c r="E165" s="53" t="s">
        <v>27</v>
      </c>
      <c r="F165" s="54">
        <v>35075.370000000003</v>
      </c>
      <c r="G165" s="53">
        <v>183423</v>
      </c>
      <c r="H165" s="53">
        <v>5096</v>
      </c>
      <c r="I165" s="53">
        <v>1350</v>
      </c>
      <c r="J165" s="54">
        <v>38232.153299999998</v>
      </c>
      <c r="K165" s="55">
        <f t="shared" si="8"/>
        <v>8.9999999999999872E-2</v>
      </c>
      <c r="L165" s="56">
        <f t="shared" si="9"/>
        <v>8.9999999999999872E-2</v>
      </c>
      <c r="M165" s="56" t="str">
        <f t="shared" si="10"/>
        <v/>
      </c>
      <c r="N165" s="56" t="str">
        <f t="shared" si="11"/>
        <v>OK</v>
      </c>
      <c r="O165" s="2"/>
      <c r="P165" s="27"/>
      <c r="Q165" s="2"/>
      <c r="R165" s="2"/>
    </row>
    <row r="166" spans="1:18" x14ac:dyDescent="0.35">
      <c r="A166" s="57">
        <v>734</v>
      </c>
      <c r="B166" s="57" t="s">
        <v>13</v>
      </c>
      <c r="C166" s="57" t="s">
        <v>32</v>
      </c>
      <c r="D166" s="57" t="s">
        <v>20</v>
      </c>
      <c r="E166" s="57" t="s">
        <v>26</v>
      </c>
      <c r="F166" s="58">
        <v>6115.8</v>
      </c>
      <c r="G166" s="57">
        <v>76197</v>
      </c>
      <c r="H166" s="57">
        <v>13480</v>
      </c>
      <c r="I166" s="57">
        <v>296</v>
      </c>
      <c r="J166" s="58">
        <v>6666.2219999999998</v>
      </c>
      <c r="K166" s="55">
        <f t="shared" si="8"/>
        <v>8.9999999999999927E-2</v>
      </c>
      <c r="L166" s="56">
        <f t="shared" si="9"/>
        <v>8.9999999999999927E-2</v>
      </c>
      <c r="M166" s="56" t="str">
        <f t="shared" si="10"/>
        <v/>
      </c>
      <c r="N166" s="56" t="str">
        <f t="shared" si="11"/>
        <v>OK</v>
      </c>
      <c r="O166" s="2"/>
      <c r="P166" s="27"/>
      <c r="Q166" s="2"/>
      <c r="R166" s="2"/>
    </row>
    <row r="167" spans="1:18" x14ac:dyDescent="0.35">
      <c r="A167" s="57">
        <v>444</v>
      </c>
      <c r="B167" s="57" t="s">
        <v>13</v>
      </c>
      <c r="C167" s="57" t="s">
        <v>32</v>
      </c>
      <c r="D167" s="57" t="s">
        <v>19</v>
      </c>
      <c r="E167" s="57" t="s">
        <v>24</v>
      </c>
      <c r="F167" s="58">
        <v>4169.66</v>
      </c>
      <c r="G167" s="57">
        <v>530616</v>
      </c>
      <c r="H167" s="57">
        <v>9162</v>
      </c>
      <c r="I167" s="57">
        <v>235</v>
      </c>
      <c r="J167" s="58">
        <v>4544.9294</v>
      </c>
      <c r="K167" s="55">
        <f t="shared" si="8"/>
        <v>9.0000000000000038E-2</v>
      </c>
      <c r="L167" s="56">
        <f t="shared" si="9"/>
        <v>9.0000000000000038E-2</v>
      </c>
      <c r="M167" s="56" t="str">
        <f t="shared" si="10"/>
        <v/>
      </c>
      <c r="N167" s="56" t="str">
        <f t="shared" si="11"/>
        <v>OK</v>
      </c>
      <c r="O167" s="2"/>
      <c r="P167" s="27"/>
      <c r="Q167" s="2"/>
      <c r="R167" s="2"/>
    </row>
    <row r="168" spans="1:18" x14ac:dyDescent="0.35">
      <c r="A168" s="53">
        <v>17</v>
      </c>
      <c r="B168" s="53" t="s">
        <v>12</v>
      </c>
      <c r="C168" s="53" t="s">
        <v>32</v>
      </c>
      <c r="D168" s="53" t="s">
        <v>17</v>
      </c>
      <c r="E168" s="53" t="s">
        <v>29</v>
      </c>
      <c r="F168" s="54">
        <v>44894.92</v>
      </c>
      <c r="G168" s="53">
        <v>149227</v>
      </c>
      <c r="H168" s="53">
        <v>3378</v>
      </c>
      <c r="I168" s="53">
        <v>650</v>
      </c>
      <c r="J168" s="54">
        <v>48935.462800000001</v>
      </c>
      <c r="K168" s="55">
        <f t="shared" si="8"/>
        <v>9.0000000000000066E-2</v>
      </c>
      <c r="L168" s="56">
        <f t="shared" si="9"/>
        <v>9.0000000000000066E-2</v>
      </c>
      <c r="M168" s="56" t="str">
        <f t="shared" si="10"/>
        <v/>
      </c>
      <c r="N168" s="56" t="str">
        <f t="shared" si="11"/>
        <v>OK</v>
      </c>
      <c r="O168" s="2"/>
      <c r="P168" s="27"/>
      <c r="Q168" s="2"/>
      <c r="R168" s="2"/>
    </row>
    <row r="169" spans="1:18" x14ac:dyDescent="0.35">
      <c r="A169" s="57">
        <v>884</v>
      </c>
      <c r="B169" s="57" t="s">
        <v>13</v>
      </c>
      <c r="C169" s="57" t="s">
        <v>32</v>
      </c>
      <c r="D169" s="57" t="s">
        <v>19</v>
      </c>
      <c r="E169" s="57" t="s">
        <v>25</v>
      </c>
      <c r="F169" s="58">
        <v>44004.7</v>
      </c>
      <c r="G169" s="57">
        <v>128696</v>
      </c>
      <c r="H169" s="57">
        <v>16231</v>
      </c>
      <c r="I169" s="57">
        <v>1587</v>
      </c>
      <c r="J169" s="58">
        <v>47965.123</v>
      </c>
      <c r="K169" s="55">
        <f t="shared" si="8"/>
        <v>9.0000000000000066E-2</v>
      </c>
      <c r="L169" s="56">
        <f t="shared" si="9"/>
        <v>9.0000000000000066E-2</v>
      </c>
      <c r="M169" s="56" t="str">
        <f t="shared" si="10"/>
        <v/>
      </c>
      <c r="N169" s="56" t="str">
        <f t="shared" si="11"/>
        <v>OK</v>
      </c>
      <c r="O169" s="2"/>
      <c r="P169" s="27"/>
      <c r="Q169" s="2"/>
      <c r="R169" s="2"/>
    </row>
    <row r="170" spans="1:18" x14ac:dyDescent="0.35">
      <c r="A170" s="57">
        <v>448</v>
      </c>
      <c r="B170" s="57" t="s">
        <v>10</v>
      </c>
      <c r="C170" s="57" t="s">
        <v>31</v>
      </c>
      <c r="D170" s="57" t="s">
        <v>20</v>
      </c>
      <c r="E170" s="57" t="s">
        <v>28</v>
      </c>
      <c r="F170" s="58">
        <v>5028.1499999999996</v>
      </c>
      <c r="G170" s="57">
        <v>660443</v>
      </c>
      <c r="H170" s="57">
        <v>11510</v>
      </c>
      <c r="I170" s="57">
        <v>122</v>
      </c>
      <c r="J170" s="58">
        <v>5480.6835000000001</v>
      </c>
      <c r="K170" s="55">
        <f t="shared" si="8"/>
        <v>9.0000000000000094E-2</v>
      </c>
      <c r="L170" s="56" t="str">
        <f t="shared" si="9"/>
        <v/>
      </c>
      <c r="M170" s="56">
        <f t="shared" si="10"/>
        <v>9.0000000000000094E-2</v>
      </c>
      <c r="N170" s="56" t="str">
        <f t="shared" si="11"/>
        <v>OK</v>
      </c>
      <c r="O170" s="2"/>
      <c r="P170" s="27"/>
      <c r="Q170" s="2"/>
      <c r="R170" s="2"/>
    </row>
    <row r="171" spans="1:18" x14ac:dyDescent="0.35">
      <c r="A171" s="57">
        <v>358</v>
      </c>
      <c r="B171" s="57" t="s">
        <v>13</v>
      </c>
      <c r="C171" s="57" t="s">
        <v>32</v>
      </c>
      <c r="D171" s="57" t="s">
        <v>17</v>
      </c>
      <c r="E171" s="57" t="s">
        <v>25</v>
      </c>
      <c r="F171" s="58">
        <v>37225.440000000002</v>
      </c>
      <c r="G171" s="57">
        <v>227060</v>
      </c>
      <c r="H171" s="57">
        <v>10265</v>
      </c>
      <c r="I171" s="57">
        <v>1229</v>
      </c>
      <c r="J171" s="58">
        <v>40947.983999999997</v>
      </c>
      <c r="K171" s="55">
        <f t="shared" si="8"/>
        <v>9.9999999999999839E-2</v>
      </c>
      <c r="L171" s="56">
        <f t="shared" si="9"/>
        <v>9.9999999999999839E-2</v>
      </c>
      <c r="M171" s="56" t="str">
        <f t="shared" si="10"/>
        <v/>
      </c>
      <c r="N171" s="56" t="str">
        <f t="shared" si="11"/>
        <v>OK</v>
      </c>
      <c r="O171" s="2"/>
      <c r="P171" s="27"/>
      <c r="Q171" s="2"/>
      <c r="R171" s="2"/>
    </row>
    <row r="172" spans="1:18" x14ac:dyDescent="0.35">
      <c r="A172" s="53">
        <v>595</v>
      </c>
      <c r="B172" s="53" t="s">
        <v>12</v>
      </c>
      <c r="C172" s="53" t="s">
        <v>32</v>
      </c>
      <c r="D172" s="53" t="s">
        <v>17</v>
      </c>
      <c r="E172" s="53" t="s">
        <v>28</v>
      </c>
      <c r="F172" s="54">
        <v>42509.83</v>
      </c>
      <c r="G172" s="53">
        <v>415841</v>
      </c>
      <c r="H172" s="53">
        <v>689</v>
      </c>
      <c r="I172" s="53">
        <v>803</v>
      </c>
      <c r="J172" s="54">
        <v>46760.813000000002</v>
      </c>
      <c r="K172" s="55">
        <f t="shared" si="8"/>
        <v>0.1</v>
      </c>
      <c r="L172" s="56">
        <f t="shared" si="9"/>
        <v>0.1</v>
      </c>
      <c r="M172" s="56" t="str">
        <f t="shared" si="10"/>
        <v/>
      </c>
      <c r="N172" s="56" t="str">
        <f t="shared" si="11"/>
        <v>ERROR: Conversions &gt; Clicks</v>
      </c>
      <c r="O172" s="2"/>
      <c r="P172" s="27"/>
      <c r="Q172" s="2"/>
      <c r="R172" s="2"/>
    </row>
    <row r="173" spans="1:18" x14ac:dyDescent="0.35">
      <c r="A173" s="53">
        <v>801</v>
      </c>
      <c r="B173" s="53" t="s">
        <v>11</v>
      </c>
      <c r="C173" s="53" t="s">
        <v>32</v>
      </c>
      <c r="D173" s="53" t="s">
        <v>21</v>
      </c>
      <c r="E173" s="53" t="s">
        <v>27</v>
      </c>
      <c r="F173" s="54">
        <v>23881.43</v>
      </c>
      <c r="G173" s="53">
        <v>589223</v>
      </c>
      <c r="H173" s="53">
        <v>16072</v>
      </c>
      <c r="I173" s="53">
        <v>317</v>
      </c>
      <c r="J173" s="54">
        <v>26269.573</v>
      </c>
      <c r="K173" s="55">
        <f t="shared" si="8"/>
        <v>0.1</v>
      </c>
      <c r="L173" s="56">
        <f t="shared" si="9"/>
        <v>0.1</v>
      </c>
      <c r="M173" s="56" t="str">
        <f t="shared" si="10"/>
        <v/>
      </c>
      <c r="N173" s="56" t="str">
        <f t="shared" si="11"/>
        <v>OK</v>
      </c>
      <c r="O173" s="2"/>
      <c r="P173" s="27"/>
      <c r="Q173" s="2"/>
      <c r="R173" s="2"/>
    </row>
    <row r="174" spans="1:18" x14ac:dyDescent="0.35">
      <c r="A174" s="57">
        <v>320</v>
      </c>
      <c r="B174" s="57" t="s">
        <v>10</v>
      </c>
      <c r="C174" s="57" t="s">
        <v>31</v>
      </c>
      <c r="D174" s="57" t="s">
        <v>20</v>
      </c>
      <c r="E174" s="57" t="s">
        <v>26</v>
      </c>
      <c r="F174" s="58">
        <v>33150.57</v>
      </c>
      <c r="G174" s="57">
        <v>449030</v>
      </c>
      <c r="H174" s="57">
        <v>16252</v>
      </c>
      <c r="I174" s="57">
        <v>871</v>
      </c>
      <c r="J174" s="58">
        <v>36465.627</v>
      </c>
      <c r="K174" s="55">
        <f t="shared" si="8"/>
        <v>0.10000000000000002</v>
      </c>
      <c r="L174" s="56" t="str">
        <f t="shared" si="9"/>
        <v/>
      </c>
      <c r="M174" s="56">
        <f t="shared" si="10"/>
        <v>0.10000000000000002</v>
      </c>
      <c r="N174" s="56" t="str">
        <f t="shared" si="11"/>
        <v>OK</v>
      </c>
      <c r="O174" s="2"/>
      <c r="P174" s="27"/>
      <c r="Q174" s="2"/>
      <c r="R174" s="2"/>
    </row>
    <row r="175" spans="1:18" x14ac:dyDescent="0.35">
      <c r="A175" s="57">
        <v>822</v>
      </c>
      <c r="B175" s="57" t="s">
        <v>12</v>
      </c>
      <c r="C175" s="57" t="s">
        <v>32</v>
      </c>
      <c r="D175" s="57" t="s">
        <v>17</v>
      </c>
      <c r="E175" s="57" t="s">
        <v>27</v>
      </c>
      <c r="F175" s="58">
        <v>34116.54</v>
      </c>
      <c r="G175" s="57">
        <v>153279</v>
      </c>
      <c r="H175" s="57">
        <v>9241</v>
      </c>
      <c r="I175" s="57">
        <v>797</v>
      </c>
      <c r="J175" s="58">
        <v>37528.194000000003</v>
      </c>
      <c r="K175" s="55">
        <f t="shared" si="8"/>
        <v>0.10000000000000006</v>
      </c>
      <c r="L175" s="56">
        <f t="shared" si="9"/>
        <v>0.10000000000000006</v>
      </c>
      <c r="M175" s="56" t="str">
        <f t="shared" si="10"/>
        <v/>
      </c>
      <c r="N175" s="56" t="str">
        <f t="shared" si="11"/>
        <v>OK</v>
      </c>
      <c r="O175" s="2"/>
      <c r="P175" s="27"/>
      <c r="Q175" s="2"/>
      <c r="R175" s="2"/>
    </row>
    <row r="176" spans="1:18" x14ac:dyDescent="0.35">
      <c r="A176" s="57">
        <v>400</v>
      </c>
      <c r="B176" s="57" t="s">
        <v>11</v>
      </c>
      <c r="C176" s="57" t="s">
        <v>32</v>
      </c>
      <c r="D176" s="57" t="s">
        <v>17</v>
      </c>
      <c r="E176" s="57" t="s">
        <v>25</v>
      </c>
      <c r="F176" s="58">
        <v>41475.910000000003</v>
      </c>
      <c r="G176" s="57">
        <v>394890</v>
      </c>
      <c r="H176" s="57">
        <v>16626</v>
      </c>
      <c r="I176" s="57">
        <v>1816</v>
      </c>
      <c r="J176" s="58">
        <v>46038.2601</v>
      </c>
      <c r="K176" s="55">
        <f t="shared" si="8"/>
        <v>0.10999999999999989</v>
      </c>
      <c r="L176" s="56">
        <f t="shared" si="9"/>
        <v>0.10999999999999989</v>
      </c>
      <c r="M176" s="56" t="str">
        <f t="shared" si="10"/>
        <v/>
      </c>
      <c r="N176" s="56" t="str">
        <f t="shared" si="11"/>
        <v>OK</v>
      </c>
      <c r="O176" s="2"/>
      <c r="P176" s="27"/>
      <c r="Q176" s="2"/>
      <c r="R176" s="2"/>
    </row>
    <row r="177" spans="1:18" x14ac:dyDescent="0.35">
      <c r="A177" s="53">
        <v>795</v>
      </c>
      <c r="B177" s="53" t="s">
        <v>11</v>
      </c>
      <c r="C177" s="53" t="s">
        <v>32</v>
      </c>
      <c r="D177" s="53" t="s">
        <v>20</v>
      </c>
      <c r="E177" s="53" t="s">
        <v>28</v>
      </c>
      <c r="F177" s="54">
        <v>10262.94</v>
      </c>
      <c r="G177" s="53">
        <v>107406</v>
      </c>
      <c r="H177" s="53">
        <v>18311</v>
      </c>
      <c r="I177" s="53">
        <v>662</v>
      </c>
      <c r="J177" s="54">
        <v>11391.8634</v>
      </c>
      <c r="K177" s="55">
        <f t="shared" si="8"/>
        <v>0.10999999999999996</v>
      </c>
      <c r="L177" s="56">
        <f t="shared" si="9"/>
        <v>0.10999999999999996</v>
      </c>
      <c r="M177" s="56" t="str">
        <f t="shared" si="10"/>
        <v/>
      </c>
      <c r="N177" s="56" t="str">
        <f t="shared" si="11"/>
        <v>OK</v>
      </c>
      <c r="O177" s="2"/>
      <c r="P177" s="27"/>
      <c r="Q177" s="2"/>
      <c r="R177" s="2"/>
    </row>
    <row r="178" spans="1:18" x14ac:dyDescent="0.35">
      <c r="A178" s="53">
        <v>105</v>
      </c>
      <c r="B178" s="53" t="s">
        <v>14</v>
      </c>
      <c r="C178" s="53" t="s">
        <v>32</v>
      </c>
      <c r="D178" s="53" t="s">
        <v>20</v>
      </c>
      <c r="E178" s="53" t="s">
        <v>26</v>
      </c>
      <c r="F178" s="54">
        <v>32524.89</v>
      </c>
      <c r="G178" s="53">
        <v>425842</v>
      </c>
      <c r="H178" s="53">
        <v>15815</v>
      </c>
      <c r="I178" s="53">
        <v>420</v>
      </c>
      <c r="J178" s="54">
        <v>36102.627899999999</v>
      </c>
      <c r="K178" s="55">
        <f t="shared" si="8"/>
        <v>0.11</v>
      </c>
      <c r="L178" s="56">
        <f t="shared" si="9"/>
        <v>0.11</v>
      </c>
      <c r="M178" s="56" t="str">
        <f t="shared" si="10"/>
        <v/>
      </c>
      <c r="N178" s="56" t="str">
        <f t="shared" si="11"/>
        <v>OK</v>
      </c>
      <c r="O178" s="2"/>
      <c r="P178" s="27"/>
      <c r="Q178" s="2"/>
      <c r="R178" s="2"/>
    </row>
    <row r="179" spans="1:18" x14ac:dyDescent="0.35">
      <c r="A179" s="53">
        <v>709</v>
      </c>
      <c r="B179" s="53" t="s">
        <v>13</v>
      </c>
      <c r="C179" s="53" t="s">
        <v>32</v>
      </c>
      <c r="D179" s="53" t="s">
        <v>21</v>
      </c>
      <c r="E179" s="53" t="s">
        <v>25</v>
      </c>
      <c r="F179" s="54">
        <v>2496.92</v>
      </c>
      <c r="G179" s="53">
        <v>953993</v>
      </c>
      <c r="H179" s="53">
        <v>7363</v>
      </c>
      <c r="I179" s="53">
        <v>1532</v>
      </c>
      <c r="J179" s="54">
        <v>2771.5812000000001</v>
      </c>
      <c r="K179" s="55">
        <f t="shared" si="8"/>
        <v>0.11</v>
      </c>
      <c r="L179" s="56">
        <f t="shared" si="9"/>
        <v>0.11</v>
      </c>
      <c r="M179" s="56" t="str">
        <f t="shared" si="10"/>
        <v/>
      </c>
      <c r="N179" s="56" t="str">
        <f t="shared" si="11"/>
        <v>OK</v>
      </c>
      <c r="O179" s="2"/>
      <c r="P179" s="27"/>
      <c r="Q179" s="2"/>
      <c r="R179" s="2"/>
    </row>
    <row r="180" spans="1:18" x14ac:dyDescent="0.35">
      <c r="A180" s="57">
        <v>366</v>
      </c>
      <c r="B180" s="57" t="s">
        <v>8</v>
      </c>
      <c r="C180" s="57" t="s">
        <v>31</v>
      </c>
      <c r="D180" s="57" t="s">
        <v>17</v>
      </c>
      <c r="E180" s="57" t="s">
        <v>29</v>
      </c>
      <c r="F180" s="58">
        <v>4560.87</v>
      </c>
      <c r="G180" s="57">
        <v>938758</v>
      </c>
      <c r="H180" s="57">
        <v>3229</v>
      </c>
      <c r="I180" s="57">
        <v>143</v>
      </c>
      <c r="J180" s="58">
        <v>5062.5657000000001</v>
      </c>
      <c r="K180" s="55">
        <f t="shared" si="8"/>
        <v>0.11000000000000006</v>
      </c>
      <c r="L180" s="56" t="str">
        <f t="shared" si="9"/>
        <v/>
      </c>
      <c r="M180" s="56">
        <f t="shared" si="10"/>
        <v>0.11000000000000006</v>
      </c>
      <c r="N180" s="56" t="str">
        <f t="shared" si="11"/>
        <v>OK</v>
      </c>
      <c r="O180" s="2"/>
      <c r="P180" s="27"/>
      <c r="Q180" s="2"/>
      <c r="R180" s="2"/>
    </row>
    <row r="181" spans="1:18" x14ac:dyDescent="0.35">
      <c r="A181" s="57">
        <v>162</v>
      </c>
      <c r="B181" s="57" t="s">
        <v>11</v>
      </c>
      <c r="C181" s="57" t="s">
        <v>32</v>
      </c>
      <c r="D181" s="57" t="s">
        <v>22</v>
      </c>
      <c r="E181" s="57" t="s">
        <v>29</v>
      </c>
      <c r="F181" s="58">
        <v>29737.48</v>
      </c>
      <c r="G181" s="57">
        <v>692416</v>
      </c>
      <c r="H181" s="57">
        <v>4629</v>
      </c>
      <c r="I181" s="57">
        <v>1667</v>
      </c>
      <c r="J181" s="58">
        <v>33305.977599999998</v>
      </c>
      <c r="K181" s="55">
        <f t="shared" si="8"/>
        <v>0.11999999999999995</v>
      </c>
      <c r="L181" s="56">
        <f t="shared" si="9"/>
        <v>0.11999999999999995</v>
      </c>
      <c r="M181" s="56" t="str">
        <f t="shared" si="10"/>
        <v/>
      </c>
      <c r="N181" s="56" t="str">
        <f t="shared" si="11"/>
        <v>OK</v>
      </c>
      <c r="O181" s="2"/>
      <c r="P181" s="27"/>
      <c r="Q181" s="2"/>
      <c r="R181" s="2"/>
    </row>
    <row r="182" spans="1:18" x14ac:dyDescent="0.35">
      <c r="A182" s="57">
        <v>708</v>
      </c>
      <c r="B182" s="57" t="s">
        <v>13</v>
      </c>
      <c r="C182" s="57" t="s">
        <v>32</v>
      </c>
      <c r="D182" s="57" t="s">
        <v>21</v>
      </c>
      <c r="E182" s="57" t="s">
        <v>24</v>
      </c>
      <c r="F182" s="58">
        <v>46533.61</v>
      </c>
      <c r="G182" s="57">
        <v>136270</v>
      </c>
      <c r="H182" s="57">
        <v>5006</v>
      </c>
      <c r="I182" s="57">
        <v>1215</v>
      </c>
      <c r="J182" s="58">
        <v>52117.643199999999</v>
      </c>
      <c r="K182" s="55">
        <f t="shared" si="8"/>
        <v>0.11999999999999995</v>
      </c>
      <c r="L182" s="56">
        <f t="shared" si="9"/>
        <v>0.11999999999999995</v>
      </c>
      <c r="M182" s="56" t="str">
        <f t="shared" si="10"/>
        <v/>
      </c>
      <c r="N182" s="56" t="str">
        <f t="shared" si="11"/>
        <v>OK</v>
      </c>
      <c r="O182" s="2"/>
      <c r="P182" s="27"/>
      <c r="Q182" s="2"/>
      <c r="R182" s="2"/>
    </row>
    <row r="183" spans="1:18" x14ac:dyDescent="0.35">
      <c r="A183" s="57">
        <v>704</v>
      </c>
      <c r="B183" s="57" t="s">
        <v>13</v>
      </c>
      <c r="C183" s="57" t="s">
        <v>32</v>
      </c>
      <c r="D183" s="57" t="s">
        <v>21</v>
      </c>
      <c r="E183" s="57" t="s">
        <v>24</v>
      </c>
      <c r="F183" s="58">
        <v>48605.120000000003</v>
      </c>
      <c r="G183" s="57">
        <v>686585</v>
      </c>
      <c r="H183" s="57">
        <v>12834</v>
      </c>
      <c r="I183" s="57">
        <v>1952</v>
      </c>
      <c r="J183" s="58">
        <v>54437.734400000001</v>
      </c>
      <c r="K183" s="55">
        <f t="shared" si="8"/>
        <v>0.11999999999999997</v>
      </c>
      <c r="L183" s="56">
        <f t="shared" si="9"/>
        <v>0.11999999999999997</v>
      </c>
      <c r="M183" s="56" t="str">
        <f t="shared" si="10"/>
        <v/>
      </c>
      <c r="N183" s="56" t="str">
        <f t="shared" si="11"/>
        <v>OK</v>
      </c>
      <c r="O183" s="2"/>
      <c r="P183" s="27"/>
      <c r="Q183" s="2"/>
      <c r="R183" s="2"/>
    </row>
    <row r="184" spans="1:18" x14ac:dyDescent="0.35">
      <c r="A184" s="53">
        <v>259</v>
      </c>
      <c r="B184" s="53" t="s">
        <v>13</v>
      </c>
      <c r="C184" s="53" t="s">
        <v>32</v>
      </c>
      <c r="D184" s="53" t="s">
        <v>22</v>
      </c>
      <c r="E184" s="53" t="s">
        <v>29</v>
      </c>
      <c r="F184" s="54">
        <v>27697.54</v>
      </c>
      <c r="G184" s="53">
        <v>282872</v>
      </c>
      <c r="H184" s="53">
        <v>14627</v>
      </c>
      <c r="I184" s="53">
        <v>1691</v>
      </c>
      <c r="J184" s="54">
        <v>31021.2448</v>
      </c>
      <c r="K184" s="55">
        <f t="shared" si="8"/>
        <v>0.11999999999999998</v>
      </c>
      <c r="L184" s="56">
        <f t="shared" si="9"/>
        <v>0.11999999999999998</v>
      </c>
      <c r="M184" s="56" t="str">
        <f t="shared" si="10"/>
        <v/>
      </c>
      <c r="N184" s="56" t="str">
        <f t="shared" si="11"/>
        <v>OK</v>
      </c>
      <c r="O184" s="2"/>
      <c r="P184" s="27"/>
      <c r="Q184" s="2"/>
      <c r="R184" s="2"/>
    </row>
    <row r="185" spans="1:18" x14ac:dyDescent="0.35">
      <c r="A185" s="57">
        <v>620</v>
      </c>
      <c r="B185" s="57" t="s">
        <v>9</v>
      </c>
      <c r="C185" s="57" t="s">
        <v>31</v>
      </c>
      <c r="D185" s="57" t="s">
        <v>17</v>
      </c>
      <c r="E185" s="57" t="s">
        <v>27</v>
      </c>
      <c r="F185" s="58">
        <v>22762.26</v>
      </c>
      <c r="G185" s="57">
        <v>492376</v>
      </c>
      <c r="H185" s="57">
        <v>5468</v>
      </c>
      <c r="I185" s="57">
        <v>928</v>
      </c>
      <c r="J185" s="58">
        <v>25493.731199999998</v>
      </c>
      <c r="K185" s="55">
        <f t="shared" si="8"/>
        <v>0.12000000000000001</v>
      </c>
      <c r="L185" s="56" t="str">
        <f t="shared" si="9"/>
        <v/>
      </c>
      <c r="M185" s="56">
        <f t="shared" si="10"/>
        <v>0.12000000000000001</v>
      </c>
      <c r="N185" s="56" t="str">
        <f t="shared" si="11"/>
        <v>OK</v>
      </c>
      <c r="O185" s="2"/>
      <c r="P185" s="27"/>
      <c r="Q185" s="2"/>
      <c r="R185" s="2"/>
    </row>
    <row r="186" spans="1:18" x14ac:dyDescent="0.35">
      <c r="A186" s="57">
        <v>508</v>
      </c>
      <c r="B186" s="57" t="s">
        <v>9</v>
      </c>
      <c r="C186" s="57" t="s">
        <v>31</v>
      </c>
      <c r="D186" s="57" t="s">
        <v>21</v>
      </c>
      <c r="E186" s="57" t="s">
        <v>28</v>
      </c>
      <c r="F186" s="58">
        <v>20103.75</v>
      </c>
      <c r="G186" s="57">
        <v>680798</v>
      </c>
      <c r="H186" s="57">
        <v>13882</v>
      </c>
      <c r="I186" s="57">
        <v>1465</v>
      </c>
      <c r="J186" s="58">
        <v>22516.2</v>
      </c>
      <c r="K186" s="55">
        <f t="shared" si="8"/>
        <v>0.12000000000000004</v>
      </c>
      <c r="L186" s="56" t="str">
        <f t="shared" si="9"/>
        <v/>
      </c>
      <c r="M186" s="56">
        <f t="shared" si="10"/>
        <v>0.12000000000000004</v>
      </c>
      <c r="N186" s="56" t="str">
        <f t="shared" si="11"/>
        <v>OK</v>
      </c>
      <c r="O186" s="2"/>
      <c r="P186" s="27"/>
      <c r="Q186" s="2"/>
      <c r="R186" s="2"/>
    </row>
    <row r="187" spans="1:18" x14ac:dyDescent="0.35">
      <c r="A187" s="57">
        <v>958</v>
      </c>
      <c r="B187" s="57" t="s">
        <v>11</v>
      </c>
      <c r="C187" s="57" t="s">
        <v>32</v>
      </c>
      <c r="D187" s="57" t="s">
        <v>19</v>
      </c>
      <c r="E187" s="57" t="s">
        <v>24</v>
      </c>
      <c r="F187" s="58">
        <v>18359.12</v>
      </c>
      <c r="G187" s="57">
        <v>888499</v>
      </c>
      <c r="H187" s="57">
        <v>9411</v>
      </c>
      <c r="I187" s="57">
        <v>1120</v>
      </c>
      <c r="J187" s="58">
        <v>20562.214400000001</v>
      </c>
      <c r="K187" s="55">
        <f t="shared" si="8"/>
        <v>0.12000000000000011</v>
      </c>
      <c r="L187" s="56">
        <f t="shared" si="9"/>
        <v>0.12000000000000011</v>
      </c>
      <c r="M187" s="56" t="str">
        <f t="shared" si="10"/>
        <v/>
      </c>
      <c r="N187" s="56" t="str">
        <f t="shared" si="11"/>
        <v>OK</v>
      </c>
      <c r="O187" s="2"/>
      <c r="P187" s="27"/>
      <c r="Q187" s="2"/>
      <c r="R187" s="2"/>
    </row>
    <row r="188" spans="1:18" x14ac:dyDescent="0.35">
      <c r="A188" s="53">
        <v>205</v>
      </c>
      <c r="B188" s="53" t="s">
        <v>12</v>
      </c>
      <c r="C188" s="53" t="s">
        <v>32</v>
      </c>
      <c r="D188" s="53" t="s">
        <v>19</v>
      </c>
      <c r="E188" s="53" t="s">
        <v>24</v>
      </c>
      <c r="F188" s="54">
        <v>16444.29</v>
      </c>
      <c r="G188" s="53">
        <v>854081</v>
      </c>
      <c r="H188" s="53">
        <v>3905</v>
      </c>
      <c r="I188" s="53">
        <v>253</v>
      </c>
      <c r="J188" s="54">
        <v>18582.047699999999</v>
      </c>
      <c r="K188" s="55">
        <f t="shared" si="8"/>
        <v>0.12999999999999989</v>
      </c>
      <c r="L188" s="56">
        <f t="shared" si="9"/>
        <v>0.12999999999999989</v>
      </c>
      <c r="M188" s="56" t="str">
        <f t="shared" si="10"/>
        <v/>
      </c>
      <c r="N188" s="56" t="str">
        <f t="shared" si="11"/>
        <v>OK</v>
      </c>
      <c r="O188" s="2"/>
      <c r="P188" s="27"/>
      <c r="Q188" s="2"/>
      <c r="R188" s="2"/>
    </row>
    <row r="189" spans="1:18" x14ac:dyDescent="0.35">
      <c r="A189" s="53">
        <v>349</v>
      </c>
      <c r="B189" s="53" t="s">
        <v>13</v>
      </c>
      <c r="C189" s="53" t="s">
        <v>32</v>
      </c>
      <c r="D189" s="53" t="s">
        <v>21</v>
      </c>
      <c r="E189" s="53" t="s">
        <v>29</v>
      </c>
      <c r="F189" s="54">
        <v>10371.76</v>
      </c>
      <c r="G189" s="53">
        <v>656238</v>
      </c>
      <c r="H189" s="53">
        <v>14007</v>
      </c>
      <c r="I189" s="53">
        <v>1962</v>
      </c>
      <c r="J189" s="54">
        <v>11720.0888</v>
      </c>
      <c r="K189" s="55">
        <f t="shared" si="8"/>
        <v>0.12999999999999992</v>
      </c>
      <c r="L189" s="56">
        <f t="shared" si="9"/>
        <v>0.12999999999999992</v>
      </c>
      <c r="M189" s="56" t="str">
        <f t="shared" si="10"/>
        <v/>
      </c>
      <c r="N189" s="56" t="str">
        <f t="shared" si="11"/>
        <v>OK</v>
      </c>
      <c r="O189" s="2"/>
      <c r="P189" s="27"/>
      <c r="Q189" s="2"/>
      <c r="R189" s="2"/>
    </row>
    <row r="190" spans="1:18" x14ac:dyDescent="0.35">
      <c r="A190" s="53">
        <v>471</v>
      </c>
      <c r="B190" s="53" t="s">
        <v>15</v>
      </c>
      <c r="C190" s="53" t="s">
        <v>32</v>
      </c>
      <c r="D190" s="53" t="s">
        <v>18</v>
      </c>
      <c r="E190" s="53" t="s">
        <v>28</v>
      </c>
      <c r="F190" s="54">
        <v>1143.1300000000001</v>
      </c>
      <c r="G190" s="53">
        <v>747242</v>
      </c>
      <c r="H190" s="53">
        <v>10948</v>
      </c>
      <c r="I190" s="53">
        <v>180</v>
      </c>
      <c r="J190" s="54">
        <v>1291.7369000000001</v>
      </c>
      <c r="K190" s="55">
        <f t="shared" si="8"/>
        <v>0.12999999999999998</v>
      </c>
      <c r="L190" s="56">
        <f t="shared" si="9"/>
        <v>0.12999999999999998</v>
      </c>
      <c r="M190" s="56" t="str">
        <f t="shared" si="10"/>
        <v/>
      </c>
      <c r="N190" s="56" t="str">
        <f t="shared" si="11"/>
        <v>OK</v>
      </c>
      <c r="O190" s="2"/>
      <c r="P190" s="27"/>
      <c r="Q190" s="2"/>
      <c r="R190" s="2"/>
    </row>
    <row r="191" spans="1:18" x14ac:dyDescent="0.35">
      <c r="A191" s="53">
        <v>325</v>
      </c>
      <c r="B191" s="53" t="s">
        <v>10</v>
      </c>
      <c r="C191" s="53" t="s">
        <v>31</v>
      </c>
      <c r="D191" s="53" t="s">
        <v>18</v>
      </c>
      <c r="E191" s="53" t="s">
        <v>25</v>
      </c>
      <c r="F191" s="54">
        <v>41324.959999999999</v>
      </c>
      <c r="G191" s="53">
        <v>604821</v>
      </c>
      <c r="H191" s="53">
        <v>3362</v>
      </c>
      <c r="I191" s="53">
        <v>414</v>
      </c>
      <c r="J191" s="54">
        <v>46697.2048</v>
      </c>
      <c r="K191" s="55">
        <f t="shared" si="8"/>
        <v>0.13</v>
      </c>
      <c r="L191" s="56" t="str">
        <f t="shared" si="9"/>
        <v/>
      </c>
      <c r="M191" s="56">
        <f t="shared" si="10"/>
        <v>0.13</v>
      </c>
      <c r="N191" s="56" t="str">
        <f t="shared" si="11"/>
        <v>OK</v>
      </c>
      <c r="O191" s="2"/>
      <c r="P191" s="27"/>
      <c r="Q191" s="2"/>
      <c r="R191" s="2"/>
    </row>
    <row r="192" spans="1:18" x14ac:dyDescent="0.35">
      <c r="A192" s="57">
        <v>152</v>
      </c>
      <c r="B192" s="57" t="s">
        <v>9</v>
      </c>
      <c r="C192" s="57" t="s">
        <v>31</v>
      </c>
      <c r="D192" s="57" t="s">
        <v>21</v>
      </c>
      <c r="E192" s="57" t="s">
        <v>28</v>
      </c>
      <c r="F192" s="58">
        <v>49565.2</v>
      </c>
      <c r="G192" s="57">
        <v>811955</v>
      </c>
      <c r="H192" s="57">
        <v>1017</v>
      </c>
      <c r="I192" s="57">
        <v>1599</v>
      </c>
      <c r="J192" s="58">
        <v>56008.675999999999</v>
      </c>
      <c r="K192" s="55">
        <f t="shared" si="8"/>
        <v>0.13000000000000006</v>
      </c>
      <c r="L192" s="56" t="str">
        <f t="shared" si="9"/>
        <v/>
      </c>
      <c r="M192" s="56">
        <f t="shared" si="10"/>
        <v>0.13000000000000006</v>
      </c>
      <c r="N192" s="56" t="str">
        <f t="shared" si="11"/>
        <v>ERROR: Conversions &gt; Clicks</v>
      </c>
      <c r="O192" s="2"/>
      <c r="P192" s="27"/>
      <c r="Q192" s="2"/>
      <c r="R192" s="2"/>
    </row>
    <row r="193" spans="1:18" x14ac:dyDescent="0.35">
      <c r="A193" s="53">
        <v>211</v>
      </c>
      <c r="B193" s="53" t="s">
        <v>8</v>
      </c>
      <c r="C193" s="53" t="s">
        <v>31</v>
      </c>
      <c r="D193" s="53" t="s">
        <v>21</v>
      </c>
      <c r="E193" s="53" t="s">
        <v>24</v>
      </c>
      <c r="F193" s="54">
        <v>7271.42</v>
      </c>
      <c r="G193" s="53">
        <v>564394</v>
      </c>
      <c r="H193" s="53">
        <v>7053</v>
      </c>
      <c r="I193" s="53">
        <v>1523</v>
      </c>
      <c r="J193" s="54">
        <v>8289.4187999999995</v>
      </c>
      <c r="K193" s="55">
        <f t="shared" si="8"/>
        <v>0.1399999999999999</v>
      </c>
      <c r="L193" s="56" t="str">
        <f t="shared" si="9"/>
        <v/>
      </c>
      <c r="M193" s="56">
        <f t="shared" si="10"/>
        <v>0.1399999999999999</v>
      </c>
      <c r="N193" s="56" t="str">
        <f t="shared" si="11"/>
        <v>OK</v>
      </c>
      <c r="O193" s="2"/>
      <c r="P193" s="27"/>
      <c r="Q193" s="2"/>
      <c r="R193" s="2"/>
    </row>
    <row r="194" spans="1:18" x14ac:dyDescent="0.35">
      <c r="A194" s="53">
        <v>219</v>
      </c>
      <c r="B194" s="53" t="s">
        <v>13</v>
      </c>
      <c r="C194" s="53" t="s">
        <v>32</v>
      </c>
      <c r="D194" s="53" t="s">
        <v>20</v>
      </c>
      <c r="E194" s="53" t="s">
        <v>25</v>
      </c>
      <c r="F194" s="54">
        <v>8103.29</v>
      </c>
      <c r="G194" s="53">
        <v>237189</v>
      </c>
      <c r="H194" s="53">
        <v>2875</v>
      </c>
      <c r="I194" s="53">
        <v>659</v>
      </c>
      <c r="J194" s="54">
        <v>9237.7505999999994</v>
      </c>
      <c r="K194" s="55">
        <f t="shared" ref="K194:K257" si="12">(J194-F194)/F194</f>
        <v>0.13999999999999993</v>
      </c>
      <c r="L194" s="56">
        <f t="shared" ref="L194:L257" si="13">IF(C194="Digital",K194,"")</f>
        <v>0.13999999999999993</v>
      </c>
      <c r="M194" s="56" t="str">
        <f t="shared" ref="M194:M257" si="14">IF(C194="Traditional",K194,"")</f>
        <v/>
      </c>
      <c r="N194" s="56" t="str">
        <f t="shared" ref="N194:N257" si="15">IF(H194&gt;G194,"ERROR: Clicks &gt; Impressions",IF(I194&gt;H194,"ERROR: Conversions &gt; Clicks","OK"))</f>
        <v>OK</v>
      </c>
      <c r="O194" s="2"/>
      <c r="P194" s="27"/>
      <c r="Q194" s="2"/>
      <c r="R194" s="2"/>
    </row>
    <row r="195" spans="1:18" x14ac:dyDescent="0.35">
      <c r="A195" s="53">
        <v>965</v>
      </c>
      <c r="B195" s="53" t="s">
        <v>8</v>
      </c>
      <c r="C195" s="53" t="s">
        <v>31</v>
      </c>
      <c r="D195" s="53" t="s">
        <v>17</v>
      </c>
      <c r="E195" s="53" t="s">
        <v>27</v>
      </c>
      <c r="F195" s="54">
        <v>9835.09</v>
      </c>
      <c r="G195" s="53">
        <v>173244</v>
      </c>
      <c r="H195" s="53">
        <v>15134</v>
      </c>
      <c r="I195" s="53">
        <v>699</v>
      </c>
      <c r="J195" s="54">
        <v>11212.0026</v>
      </c>
      <c r="K195" s="55">
        <f t="shared" si="12"/>
        <v>0.13999999999999996</v>
      </c>
      <c r="L195" s="56" t="str">
        <f t="shared" si="13"/>
        <v/>
      </c>
      <c r="M195" s="56">
        <f t="shared" si="14"/>
        <v>0.13999999999999996</v>
      </c>
      <c r="N195" s="56" t="str">
        <f t="shared" si="15"/>
        <v>OK</v>
      </c>
      <c r="O195" s="2"/>
      <c r="P195" s="27"/>
      <c r="Q195" s="2"/>
      <c r="R195" s="2"/>
    </row>
    <row r="196" spans="1:18" x14ac:dyDescent="0.35">
      <c r="A196" s="57">
        <v>442</v>
      </c>
      <c r="B196" s="57" t="s">
        <v>13</v>
      </c>
      <c r="C196" s="57" t="s">
        <v>32</v>
      </c>
      <c r="D196" s="57" t="s">
        <v>22</v>
      </c>
      <c r="E196" s="57" t="s">
        <v>24</v>
      </c>
      <c r="F196" s="58">
        <v>2599.64</v>
      </c>
      <c r="G196" s="57">
        <v>906473</v>
      </c>
      <c r="H196" s="57">
        <v>12491</v>
      </c>
      <c r="I196" s="57">
        <v>848</v>
      </c>
      <c r="J196" s="58">
        <v>2963.5895999999998</v>
      </c>
      <c r="K196" s="55">
        <f t="shared" si="12"/>
        <v>0.13999999999999999</v>
      </c>
      <c r="L196" s="56">
        <f t="shared" si="13"/>
        <v>0.13999999999999999</v>
      </c>
      <c r="M196" s="56" t="str">
        <f t="shared" si="14"/>
        <v/>
      </c>
      <c r="N196" s="56" t="str">
        <f t="shared" si="15"/>
        <v>OK</v>
      </c>
      <c r="O196" s="2"/>
      <c r="P196" s="27"/>
      <c r="Q196" s="2"/>
      <c r="R196" s="2"/>
    </row>
    <row r="197" spans="1:18" x14ac:dyDescent="0.35">
      <c r="A197" s="53">
        <v>241</v>
      </c>
      <c r="B197" s="53" t="s">
        <v>14</v>
      </c>
      <c r="C197" s="53" t="s">
        <v>32</v>
      </c>
      <c r="D197" s="53" t="s">
        <v>17</v>
      </c>
      <c r="E197" s="53" t="s">
        <v>26</v>
      </c>
      <c r="F197" s="54">
        <v>42499.02</v>
      </c>
      <c r="G197" s="53">
        <v>79087</v>
      </c>
      <c r="H197" s="53">
        <v>12157</v>
      </c>
      <c r="I197" s="53">
        <v>80</v>
      </c>
      <c r="J197" s="54">
        <v>48448.882799999999</v>
      </c>
      <c r="K197" s="55">
        <f t="shared" si="12"/>
        <v>0.14000000000000007</v>
      </c>
      <c r="L197" s="56">
        <f t="shared" si="13"/>
        <v>0.14000000000000007</v>
      </c>
      <c r="M197" s="56" t="str">
        <f t="shared" si="14"/>
        <v/>
      </c>
      <c r="N197" s="56" t="str">
        <f t="shared" si="15"/>
        <v>OK</v>
      </c>
      <c r="O197" s="2"/>
      <c r="P197" s="27"/>
      <c r="Q197" s="2"/>
      <c r="R197" s="2"/>
    </row>
    <row r="198" spans="1:18" x14ac:dyDescent="0.35">
      <c r="A198" s="53">
        <v>599</v>
      </c>
      <c r="B198" s="53" t="s">
        <v>12</v>
      </c>
      <c r="C198" s="53" t="s">
        <v>32</v>
      </c>
      <c r="D198" s="53" t="s">
        <v>20</v>
      </c>
      <c r="E198" s="53" t="s">
        <v>27</v>
      </c>
      <c r="F198" s="54">
        <v>28424.73</v>
      </c>
      <c r="G198" s="53">
        <v>495001</v>
      </c>
      <c r="H198" s="53">
        <v>9554</v>
      </c>
      <c r="I198" s="53">
        <v>1522</v>
      </c>
      <c r="J198" s="54">
        <v>32404.192200000001</v>
      </c>
      <c r="K198" s="55">
        <f t="shared" si="12"/>
        <v>0.14000000000000007</v>
      </c>
      <c r="L198" s="56">
        <f t="shared" si="13"/>
        <v>0.14000000000000007</v>
      </c>
      <c r="M198" s="56" t="str">
        <f t="shared" si="14"/>
        <v/>
      </c>
      <c r="N198" s="56" t="str">
        <f t="shared" si="15"/>
        <v>OK</v>
      </c>
      <c r="O198" s="2"/>
      <c r="P198" s="27"/>
      <c r="Q198" s="2"/>
      <c r="R198" s="2"/>
    </row>
    <row r="199" spans="1:18" x14ac:dyDescent="0.35">
      <c r="A199" s="57">
        <v>328</v>
      </c>
      <c r="B199" s="57" t="s">
        <v>8</v>
      </c>
      <c r="C199" s="57" t="s">
        <v>31</v>
      </c>
      <c r="D199" s="57" t="s">
        <v>22</v>
      </c>
      <c r="E199" s="57" t="s">
        <v>29</v>
      </c>
      <c r="F199" s="58">
        <v>48699.41</v>
      </c>
      <c r="G199" s="57">
        <v>900023</v>
      </c>
      <c r="H199" s="57">
        <v>10049</v>
      </c>
      <c r="I199" s="57">
        <v>1574</v>
      </c>
      <c r="J199" s="58">
        <v>56004.321499999998</v>
      </c>
      <c r="K199" s="55">
        <f t="shared" si="12"/>
        <v>0.14999999999999988</v>
      </c>
      <c r="L199" s="56" t="str">
        <f t="shared" si="13"/>
        <v/>
      </c>
      <c r="M199" s="56">
        <f t="shared" si="14"/>
        <v>0.14999999999999988</v>
      </c>
      <c r="N199" s="56" t="str">
        <f t="shared" si="15"/>
        <v>OK</v>
      </c>
      <c r="O199" s="2"/>
      <c r="P199" s="27"/>
      <c r="Q199" s="2"/>
      <c r="R199" s="2"/>
    </row>
    <row r="200" spans="1:18" x14ac:dyDescent="0.35">
      <c r="A200" s="57">
        <v>524</v>
      </c>
      <c r="B200" s="57" t="s">
        <v>8</v>
      </c>
      <c r="C200" s="57" t="s">
        <v>31</v>
      </c>
      <c r="D200" s="57" t="s">
        <v>18</v>
      </c>
      <c r="E200" s="57" t="s">
        <v>29</v>
      </c>
      <c r="F200" s="58">
        <v>13578.02</v>
      </c>
      <c r="G200" s="57">
        <v>505916</v>
      </c>
      <c r="H200" s="57">
        <v>8285</v>
      </c>
      <c r="I200" s="57">
        <v>1864</v>
      </c>
      <c r="J200" s="58">
        <v>15614.723</v>
      </c>
      <c r="K200" s="55">
        <f t="shared" si="12"/>
        <v>0.14999999999999997</v>
      </c>
      <c r="L200" s="56" t="str">
        <f t="shared" si="13"/>
        <v/>
      </c>
      <c r="M200" s="56">
        <f t="shared" si="14"/>
        <v>0.14999999999999997</v>
      </c>
      <c r="N200" s="56" t="str">
        <f t="shared" si="15"/>
        <v>OK</v>
      </c>
      <c r="O200" s="2"/>
      <c r="P200" s="27"/>
      <c r="Q200" s="2"/>
      <c r="R200" s="2"/>
    </row>
    <row r="201" spans="1:18" x14ac:dyDescent="0.35">
      <c r="A201" s="53">
        <v>491</v>
      </c>
      <c r="B201" s="53" t="s">
        <v>13</v>
      </c>
      <c r="C201" s="53" t="s">
        <v>32</v>
      </c>
      <c r="D201" s="53" t="s">
        <v>20</v>
      </c>
      <c r="E201" s="53" t="s">
        <v>28</v>
      </c>
      <c r="F201" s="54">
        <v>22488.39</v>
      </c>
      <c r="G201" s="53">
        <v>787567</v>
      </c>
      <c r="H201" s="53">
        <v>8102</v>
      </c>
      <c r="I201" s="53">
        <v>1705</v>
      </c>
      <c r="J201" s="54">
        <v>25861.648499999999</v>
      </c>
      <c r="K201" s="55">
        <f t="shared" si="12"/>
        <v>0.15</v>
      </c>
      <c r="L201" s="56">
        <f t="shared" si="13"/>
        <v>0.15</v>
      </c>
      <c r="M201" s="56" t="str">
        <f t="shared" si="14"/>
        <v/>
      </c>
      <c r="N201" s="56" t="str">
        <f t="shared" si="15"/>
        <v>OK</v>
      </c>
      <c r="O201" s="2"/>
      <c r="P201" s="27"/>
      <c r="Q201" s="2"/>
      <c r="R201" s="2"/>
    </row>
    <row r="202" spans="1:18" x14ac:dyDescent="0.35">
      <c r="A202" s="53">
        <v>221</v>
      </c>
      <c r="B202" s="53" t="s">
        <v>9</v>
      </c>
      <c r="C202" s="53" t="s">
        <v>31</v>
      </c>
      <c r="D202" s="53" t="s">
        <v>19</v>
      </c>
      <c r="E202" s="53" t="s">
        <v>25</v>
      </c>
      <c r="F202" s="54">
        <v>10368.34</v>
      </c>
      <c r="G202" s="53">
        <v>430343</v>
      </c>
      <c r="H202" s="53">
        <v>12951</v>
      </c>
      <c r="I202" s="53">
        <v>400</v>
      </c>
      <c r="J202" s="54">
        <v>11923.591</v>
      </c>
      <c r="K202" s="55">
        <f t="shared" si="12"/>
        <v>0.15000000000000002</v>
      </c>
      <c r="L202" s="56" t="str">
        <f t="shared" si="13"/>
        <v/>
      </c>
      <c r="M202" s="56">
        <f t="shared" si="14"/>
        <v>0.15000000000000002</v>
      </c>
      <c r="N202" s="56" t="str">
        <f t="shared" si="15"/>
        <v>OK</v>
      </c>
      <c r="O202" s="2"/>
      <c r="P202" s="27"/>
      <c r="Q202" s="2"/>
      <c r="R202" s="2"/>
    </row>
    <row r="203" spans="1:18" x14ac:dyDescent="0.35">
      <c r="A203" s="53">
        <v>675</v>
      </c>
      <c r="B203" s="53" t="s">
        <v>12</v>
      </c>
      <c r="C203" s="53" t="s">
        <v>32</v>
      </c>
      <c r="D203" s="53" t="s">
        <v>20</v>
      </c>
      <c r="E203" s="53" t="s">
        <v>26</v>
      </c>
      <c r="F203" s="54">
        <v>26132.22</v>
      </c>
      <c r="G203" s="53">
        <v>86709</v>
      </c>
      <c r="H203" s="53">
        <v>19329</v>
      </c>
      <c r="I203" s="53">
        <v>780</v>
      </c>
      <c r="J203" s="54">
        <v>30313.375199999999</v>
      </c>
      <c r="K203" s="55">
        <f t="shared" si="12"/>
        <v>0.15999999999999989</v>
      </c>
      <c r="L203" s="56">
        <f t="shared" si="13"/>
        <v>0.15999999999999989</v>
      </c>
      <c r="M203" s="56" t="str">
        <f t="shared" si="14"/>
        <v/>
      </c>
      <c r="N203" s="56" t="str">
        <f t="shared" si="15"/>
        <v>OK</v>
      </c>
      <c r="O203" s="2"/>
      <c r="P203" s="27"/>
      <c r="Q203" s="2"/>
      <c r="R203" s="2"/>
    </row>
    <row r="204" spans="1:18" x14ac:dyDescent="0.35">
      <c r="A204" s="57">
        <v>164</v>
      </c>
      <c r="B204" s="57" t="s">
        <v>12</v>
      </c>
      <c r="C204" s="57" t="s">
        <v>32</v>
      </c>
      <c r="D204" s="57" t="s">
        <v>17</v>
      </c>
      <c r="E204" s="57" t="s">
        <v>29</v>
      </c>
      <c r="F204" s="58">
        <v>46551.23</v>
      </c>
      <c r="G204" s="57">
        <v>17415</v>
      </c>
      <c r="H204" s="57">
        <v>12292</v>
      </c>
      <c r="I204" s="57">
        <v>1381</v>
      </c>
      <c r="J204" s="58">
        <v>53999.426800000001</v>
      </c>
      <c r="K204" s="55">
        <f t="shared" si="12"/>
        <v>0.15999999999999995</v>
      </c>
      <c r="L204" s="56">
        <f t="shared" si="13"/>
        <v>0.15999999999999995</v>
      </c>
      <c r="M204" s="56" t="str">
        <f t="shared" si="14"/>
        <v/>
      </c>
      <c r="N204" s="56" t="str">
        <f t="shared" si="15"/>
        <v>OK</v>
      </c>
      <c r="O204" s="2"/>
      <c r="P204" s="27"/>
      <c r="Q204" s="2"/>
      <c r="R204" s="2"/>
    </row>
    <row r="205" spans="1:18" x14ac:dyDescent="0.35">
      <c r="A205" s="53">
        <v>905</v>
      </c>
      <c r="B205" s="53" t="s">
        <v>9</v>
      </c>
      <c r="C205" s="53" t="s">
        <v>31</v>
      </c>
      <c r="D205" s="53" t="s">
        <v>18</v>
      </c>
      <c r="E205" s="53" t="s">
        <v>25</v>
      </c>
      <c r="F205" s="54">
        <v>28836.53</v>
      </c>
      <c r="G205" s="53">
        <v>217139</v>
      </c>
      <c r="H205" s="53">
        <v>3967</v>
      </c>
      <c r="I205" s="53">
        <v>695</v>
      </c>
      <c r="J205" s="54">
        <v>33450.374799999998</v>
      </c>
      <c r="K205" s="55">
        <f t="shared" si="12"/>
        <v>0.15999999999999998</v>
      </c>
      <c r="L205" s="56" t="str">
        <f t="shared" si="13"/>
        <v/>
      </c>
      <c r="M205" s="56">
        <f t="shared" si="14"/>
        <v>0.15999999999999998</v>
      </c>
      <c r="N205" s="56" t="str">
        <f t="shared" si="15"/>
        <v>OK</v>
      </c>
      <c r="O205" s="2"/>
      <c r="P205" s="27"/>
      <c r="Q205" s="2"/>
      <c r="R205" s="2"/>
    </row>
    <row r="206" spans="1:18" x14ac:dyDescent="0.35">
      <c r="A206" s="53">
        <v>483</v>
      </c>
      <c r="B206" s="53" t="s">
        <v>15</v>
      </c>
      <c r="C206" s="53" t="s">
        <v>32</v>
      </c>
      <c r="D206" s="53" t="s">
        <v>17</v>
      </c>
      <c r="E206" s="53" t="s">
        <v>25</v>
      </c>
      <c r="F206" s="54">
        <v>29952.5</v>
      </c>
      <c r="G206" s="53">
        <v>778917</v>
      </c>
      <c r="H206" s="53">
        <v>7778</v>
      </c>
      <c r="I206" s="53">
        <v>1348</v>
      </c>
      <c r="J206" s="54">
        <v>34744.9</v>
      </c>
      <c r="K206" s="55">
        <f t="shared" si="12"/>
        <v>0.16000000000000006</v>
      </c>
      <c r="L206" s="56">
        <f t="shared" si="13"/>
        <v>0.16000000000000006</v>
      </c>
      <c r="M206" s="56" t="str">
        <f t="shared" si="14"/>
        <v/>
      </c>
      <c r="N206" s="56" t="str">
        <f t="shared" si="15"/>
        <v>OK</v>
      </c>
      <c r="O206" s="2"/>
      <c r="P206" s="27"/>
      <c r="Q206" s="2"/>
      <c r="R206" s="2"/>
    </row>
    <row r="207" spans="1:18" x14ac:dyDescent="0.35">
      <c r="A207" s="53">
        <v>137</v>
      </c>
      <c r="B207" s="53" t="s">
        <v>11</v>
      </c>
      <c r="C207" s="53" t="s">
        <v>32</v>
      </c>
      <c r="D207" s="53" t="s">
        <v>21</v>
      </c>
      <c r="E207" s="53" t="s">
        <v>26</v>
      </c>
      <c r="F207" s="54">
        <v>19299.669999999998</v>
      </c>
      <c r="G207" s="53">
        <v>251133</v>
      </c>
      <c r="H207" s="53">
        <v>14332</v>
      </c>
      <c r="I207" s="53">
        <v>1911</v>
      </c>
      <c r="J207" s="54">
        <v>22387.617200000001</v>
      </c>
      <c r="K207" s="55">
        <f t="shared" si="12"/>
        <v>0.16000000000000014</v>
      </c>
      <c r="L207" s="56">
        <f t="shared" si="13"/>
        <v>0.16000000000000014</v>
      </c>
      <c r="M207" s="56" t="str">
        <f t="shared" si="14"/>
        <v/>
      </c>
      <c r="N207" s="56" t="str">
        <f t="shared" si="15"/>
        <v>OK</v>
      </c>
      <c r="O207" s="2"/>
      <c r="P207" s="27"/>
      <c r="Q207" s="2"/>
      <c r="R207" s="2"/>
    </row>
    <row r="208" spans="1:18" x14ac:dyDescent="0.35">
      <c r="A208" s="53">
        <v>251</v>
      </c>
      <c r="B208" s="53" t="s">
        <v>10</v>
      </c>
      <c r="C208" s="53" t="s">
        <v>31</v>
      </c>
      <c r="D208" s="53" t="s">
        <v>18</v>
      </c>
      <c r="E208" s="53" t="s">
        <v>29</v>
      </c>
      <c r="F208" s="54">
        <v>39561.54</v>
      </c>
      <c r="G208" s="53">
        <v>152180</v>
      </c>
      <c r="H208" s="53">
        <v>15930</v>
      </c>
      <c r="I208" s="53">
        <v>1979</v>
      </c>
      <c r="J208" s="54">
        <v>46287.001799999998</v>
      </c>
      <c r="K208" s="55">
        <f t="shared" si="12"/>
        <v>0.16999999999999993</v>
      </c>
      <c r="L208" s="56" t="str">
        <f t="shared" si="13"/>
        <v/>
      </c>
      <c r="M208" s="56">
        <f t="shared" si="14"/>
        <v>0.16999999999999993</v>
      </c>
      <c r="N208" s="56" t="str">
        <f t="shared" si="15"/>
        <v>OK</v>
      </c>
      <c r="O208" s="2"/>
      <c r="P208" s="27"/>
      <c r="Q208" s="2"/>
      <c r="R208" s="2"/>
    </row>
    <row r="209" spans="1:18" x14ac:dyDescent="0.35">
      <c r="A209" s="57">
        <v>284</v>
      </c>
      <c r="B209" s="57" t="s">
        <v>8</v>
      </c>
      <c r="C209" s="57" t="s">
        <v>31</v>
      </c>
      <c r="D209" s="57" t="s">
        <v>21</v>
      </c>
      <c r="E209" s="57" t="s">
        <v>29</v>
      </c>
      <c r="F209" s="58">
        <v>5607.77</v>
      </c>
      <c r="G209" s="57">
        <v>72021</v>
      </c>
      <c r="H209" s="57">
        <v>6194</v>
      </c>
      <c r="I209" s="57">
        <v>117</v>
      </c>
      <c r="J209" s="58">
        <v>6561.0909000000001</v>
      </c>
      <c r="K209" s="55">
        <f t="shared" si="12"/>
        <v>0.16999999999999993</v>
      </c>
      <c r="L209" s="56" t="str">
        <f t="shared" si="13"/>
        <v/>
      </c>
      <c r="M209" s="56">
        <f t="shared" si="14"/>
        <v>0.16999999999999993</v>
      </c>
      <c r="N209" s="56" t="str">
        <f t="shared" si="15"/>
        <v>OK</v>
      </c>
      <c r="O209" s="2"/>
      <c r="P209" s="27"/>
      <c r="Q209" s="2"/>
      <c r="R209" s="2"/>
    </row>
    <row r="210" spans="1:18" x14ac:dyDescent="0.35">
      <c r="A210" s="53">
        <v>453</v>
      </c>
      <c r="B210" s="53" t="s">
        <v>10</v>
      </c>
      <c r="C210" s="53" t="s">
        <v>31</v>
      </c>
      <c r="D210" s="53" t="s">
        <v>19</v>
      </c>
      <c r="E210" s="53" t="s">
        <v>28</v>
      </c>
      <c r="F210" s="54">
        <v>9076.41</v>
      </c>
      <c r="G210" s="53">
        <v>819057</v>
      </c>
      <c r="H210" s="53">
        <v>11482</v>
      </c>
      <c r="I210" s="53">
        <v>1241</v>
      </c>
      <c r="J210" s="54">
        <v>10619.3997</v>
      </c>
      <c r="K210" s="55">
        <f t="shared" si="12"/>
        <v>0.17</v>
      </c>
      <c r="L210" s="56" t="str">
        <f t="shared" si="13"/>
        <v/>
      </c>
      <c r="M210" s="56">
        <f t="shared" si="14"/>
        <v>0.17</v>
      </c>
      <c r="N210" s="56" t="str">
        <f t="shared" si="15"/>
        <v>OK</v>
      </c>
      <c r="O210" s="2"/>
      <c r="P210" s="27"/>
      <c r="Q210" s="2"/>
      <c r="R210" s="2"/>
    </row>
    <row r="211" spans="1:18" x14ac:dyDescent="0.35">
      <c r="A211" s="53">
        <v>161</v>
      </c>
      <c r="B211" s="53" t="s">
        <v>8</v>
      </c>
      <c r="C211" s="53" t="s">
        <v>31</v>
      </c>
      <c r="D211" s="53" t="s">
        <v>17</v>
      </c>
      <c r="E211" s="53" t="s">
        <v>27</v>
      </c>
      <c r="F211" s="54">
        <v>29704.7</v>
      </c>
      <c r="G211" s="53">
        <v>657096</v>
      </c>
      <c r="H211" s="53">
        <v>11767</v>
      </c>
      <c r="I211" s="53">
        <v>375</v>
      </c>
      <c r="J211" s="54">
        <v>34754.499000000003</v>
      </c>
      <c r="K211" s="55">
        <f t="shared" si="12"/>
        <v>0.1700000000000001</v>
      </c>
      <c r="L211" s="56" t="str">
        <f t="shared" si="13"/>
        <v/>
      </c>
      <c r="M211" s="56">
        <f t="shared" si="14"/>
        <v>0.1700000000000001</v>
      </c>
      <c r="N211" s="56" t="str">
        <f t="shared" si="15"/>
        <v>OK</v>
      </c>
      <c r="O211" s="2"/>
      <c r="P211" s="27"/>
      <c r="Q211" s="2"/>
      <c r="R211" s="2"/>
    </row>
    <row r="212" spans="1:18" x14ac:dyDescent="0.35">
      <c r="A212" s="57">
        <v>872</v>
      </c>
      <c r="B212" s="57" t="s">
        <v>13</v>
      </c>
      <c r="C212" s="57" t="s">
        <v>32</v>
      </c>
      <c r="D212" s="57" t="s">
        <v>22</v>
      </c>
      <c r="E212" s="57" t="s">
        <v>26</v>
      </c>
      <c r="F212" s="58">
        <v>34714.18</v>
      </c>
      <c r="G212" s="57">
        <v>642405</v>
      </c>
      <c r="H212" s="57">
        <v>2276</v>
      </c>
      <c r="I212" s="57">
        <v>314</v>
      </c>
      <c r="J212" s="58">
        <v>40615.590600000003</v>
      </c>
      <c r="K212" s="55">
        <f t="shared" si="12"/>
        <v>0.1700000000000001</v>
      </c>
      <c r="L212" s="56">
        <f t="shared" si="13"/>
        <v>0.1700000000000001</v>
      </c>
      <c r="M212" s="56" t="str">
        <f t="shared" si="14"/>
        <v/>
      </c>
      <c r="N212" s="56" t="str">
        <f t="shared" si="15"/>
        <v>OK</v>
      </c>
      <c r="O212" s="2"/>
      <c r="P212" s="27"/>
      <c r="Q212" s="2"/>
      <c r="R212" s="2"/>
    </row>
    <row r="213" spans="1:18" x14ac:dyDescent="0.35">
      <c r="A213" s="53">
        <v>515</v>
      </c>
      <c r="B213" s="53" t="s">
        <v>14</v>
      </c>
      <c r="C213" s="53" t="s">
        <v>32</v>
      </c>
      <c r="D213" s="53" t="s">
        <v>18</v>
      </c>
      <c r="E213" s="53" t="s">
        <v>27</v>
      </c>
      <c r="F213" s="54">
        <v>36203.03</v>
      </c>
      <c r="G213" s="53">
        <v>798245</v>
      </c>
      <c r="H213" s="53">
        <v>5652</v>
      </c>
      <c r="I213" s="53">
        <v>157</v>
      </c>
      <c r="J213" s="54">
        <v>42357.545100000003</v>
      </c>
      <c r="K213" s="55">
        <f t="shared" si="12"/>
        <v>0.17000000000000012</v>
      </c>
      <c r="L213" s="56">
        <f t="shared" si="13"/>
        <v>0.17000000000000012</v>
      </c>
      <c r="M213" s="56" t="str">
        <f t="shared" si="14"/>
        <v/>
      </c>
      <c r="N213" s="56" t="str">
        <f t="shared" si="15"/>
        <v>OK</v>
      </c>
      <c r="O213" s="2"/>
      <c r="P213" s="27"/>
      <c r="Q213" s="2"/>
      <c r="R213" s="2"/>
    </row>
    <row r="214" spans="1:18" x14ac:dyDescent="0.35">
      <c r="A214" s="57">
        <v>858</v>
      </c>
      <c r="B214" s="57" t="s">
        <v>9</v>
      </c>
      <c r="C214" s="57" t="s">
        <v>31</v>
      </c>
      <c r="D214" s="57" t="s">
        <v>22</v>
      </c>
      <c r="E214" s="57" t="s">
        <v>25</v>
      </c>
      <c r="F214" s="58">
        <v>7160.49</v>
      </c>
      <c r="G214" s="57">
        <v>958202</v>
      </c>
      <c r="H214" s="57">
        <v>2562</v>
      </c>
      <c r="I214" s="57">
        <v>1048</v>
      </c>
      <c r="J214" s="58">
        <v>8377.7733000000007</v>
      </c>
      <c r="K214" s="55">
        <f t="shared" si="12"/>
        <v>0.17000000000000015</v>
      </c>
      <c r="L214" s="56" t="str">
        <f t="shared" si="13"/>
        <v/>
      </c>
      <c r="M214" s="56">
        <f t="shared" si="14"/>
        <v>0.17000000000000015</v>
      </c>
      <c r="N214" s="56" t="str">
        <f t="shared" si="15"/>
        <v>OK</v>
      </c>
      <c r="O214" s="2"/>
      <c r="P214" s="27"/>
      <c r="Q214" s="2"/>
      <c r="R214" s="2"/>
    </row>
    <row r="215" spans="1:18" x14ac:dyDescent="0.35">
      <c r="A215" s="53">
        <v>771</v>
      </c>
      <c r="B215" s="53" t="s">
        <v>15</v>
      </c>
      <c r="C215" s="53" t="s">
        <v>32</v>
      </c>
      <c r="D215" s="53" t="s">
        <v>17</v>
      </c>
      <c r="E215" s="53" t="s">
        <v>25</v>
      </c>
      <c r="F215" s="54">
        <v>10204.299999999999</v>
      </c>
      <c r="G215" s="53">
        <v>997797</v>
      </c>
      <c r="H215" s="53">
        <v>6899</v>
      </c>
      <c r="I215" s="53">
        <v>781</v>
      </c>
      <c r="J215" s="54">
        <v>11939.031000000001</v>
      </c>
      <c r="K215" s="55">
        <f t="shared" si="12"/>
        <v>0.17000000000000018</v>
      </c>
      <c r="L215" s="56">
        <f t="shared" si="13"/>
        <v>0.17000000000000018</v>
      </c>
      <c r="M215" s="56" t="str">
        <f t="shared" si="14"/>
        <v/>
      </c>
      <c r="N215" s="56" t="str">
        <f t="shared" si="15"/>
        <v>OK</v>
      </c>
      <c r="O215" s="2"/>
      <c r="P215" s="27"/>
      <c r="Q215" s="2"/>
      <c r="R215" s="2"/>
    </row>
    <row r="216" spans="1:18" x14ac:dyDescent="0.35">
      <c r="A216" s="53">
        <v>585</v>
      </c>
      <c r="B216" s="53" t="s">
        <v>10</v>
      </c>
      <c r="C216" s="53" t="s">
        <v>31</v>
      </c>
      <c r="D216" s="53" t="s">
        <v>21</v>
      </c>
      <c r="E216" s="53" t="s">
        <v>29</v>
      </c>
      <c r="F216" s="54">
        <v>38333.43</v>
      </c>
      <c r="G216" s="53">
        <v>122935</v>
      </c>
      <c r="H216" s="53">
        <v>4217</v>
      </c>
      <c r="I216" s="53">
        <v>549</v>
      </c>
      <c r="J216" s="54">
        <v>45233.447399999997</v>
      </c>
      <c r="K216" s="55">
        <f t="shared" si="12"/>
        <v>0.17999999999999991</v>
      </c>
      <c r="L216" s="56" t="str">
        <f t="shared" si="13"/>
        <v/>
      </c>
      <c r="M216" s="56">
        <f t="shared" si="14"/>
        <v>0.17999999999999991</v>
      </c>
      <c r="N216" s="56" t="str">
        <f t="shared" si="15"/>
        <v>OK</v>
      </c>
      <c r="O216" s="2"/>
      <c r="P216" s="27"/>
      <c r="Q216" s="2"/>
      <c r="R216" s="2"/>
    </row>
    <row r="217" spans="1:18" x14ac:dyDescent="0.35">
      <c r="A217" s="53">
        <v>13</v>
      </c>
      <c r="B217" s="53" t="s">
        <v>9</v>
      </c>
      <c r="C217" s="53" t="s">
        <v>31</v>
      </c>
      <c r="D217" s="53" t="s">
        <v>17</v>
      </c>
      <c r="E217" s="53" t="s">
        <v>26</v>
      </c>
      <c r="F217" s="54">
        <v>13774.95</v>
      </c>
      <c r="G217" s="53">
        <v>612248</v>
      </c>
      <c r="H217" s="53">
        <v>6959</v>
      </c>
      <c r="I217" s="53">
        <v>740</v>
      </c>
      <c r="J217" s="54">
        <v>16254.441000000001</v>
      </c>
      <c r="K217" s="55">
        <f t="shared" si="12"/>
        <v>0.18</v>
      </c>
      <c r="L217" s="56" t="str">
        <f t="shared" si="13"/>
        <v/>
      </c>
      <c r="M217" s="56">
        <f t="shared" si="14"/>
        <v>0.18</v>
      </c>
      <c r="N217" s="56" t="str">
        <f t="shared" si="15"/>
        <v>OK</v>
      </c>
      <c r="O217" s="2"/>
      <c r="P217" s="27"/>
      <c r="Q217" s="2"/>
      <c r="R217" s="2"/>
    </row>
    <row r="218" spans="1:18" x14ac:dyDescent="0.35">
      <c r="A218" s="57">
        <v>800</v>
      </c>
      <c r="B218" s="57" t="s">
        <v>9</v>
      </c>
      <c r="C218" s="57" t="s">
        <v>31</v>
      </c>
      <c r="D218" s="57" t="s">
        <v>19</v>
      </c>
      <c r="E218" s="57" t="s">
        <v>24</v>
      </c>
      <c r="F218" s="58">
        <v>29580.06</v>
      </c>
      <c r="G218" s="57">
        <v>637099</v>
      </c>
      <c r="H218" s="57">
        <v>2943</v>
      </c>
      <c r="I218" s="57">
        <v>82</v>
      </c>
      <c r="J218" s="58">
        <v>34904.470800000003</v>
      </c>
      <c r="K218" s="55">
        <f t="shared" si="12"/>
        <v>0.18000000000000005</v>
      </c>
      <c r="L218" s="56" t="str">
        <f t="shared" si="13"/>
        <v/>
      </c>
      <c r="M218" s="56">
        <f t="shared" si="14"/>
        <v>0.18000000000000005</v>
      </c>
      <c r="N218" s="56" t="str">
        <f t="shared" si="15"/>
        <v>OK</v>
      </c>
      <c r="O218" s="2"/>
      <c r="P218" s="27"/>
      <c r="Q218" s="2"/>
      <c r="R218" s="2"/>
    </row>
    <row r="219" spans="1:18" x14ac:dyDescent="0.35">
      <c r="A219" s="57">
        <v>892</v>
      </c>
      <c r="B219" s="57" t="s">
        <v>8</v>
      </c>
      <c r="C219" s="57" t="s">
        <v>31</v>
      </c>
      <c r="D219" s="57" t="s">
        <v>19</v>
      </c>
      <c r="E219" s="57" t="s">
        <v>26</v>
      </c>
      <c r="F219" s="58">
        <v>42999.35</v>
      </c>
      <c r="G219" s="57">
        <v>314359</v>
      </c>
      <c r="H219" s="57">
        <v>7462</v>
      </c>
      <c r="I219" s="57">
        <v>555</v>
      </c>
      <c r="J219" s="58">
        <v>50739.233</v>
      </c>
      <c r="K219" s="55">
        <f t="shared" si="12"/>
        <v>0.18000000000000005</v>
      </c>
      <c r="L219" s="56" t="str">
        <f t="shared" si="13"/>
        <v/>
      </c>
      <c r="M219" s="56">
        <f t="shared" si="14"/>
        <v>0.18000000000000005</v>
      </c>
      <c r="N219" s="56" t="str">
        <f t="shared" si="15"/>
        <v>OK</v>
      </c>
      <c r="O219" s="2"/>
      <c r="P219" s="27"/>
      <c r="Q219" s="2"/>
      <c r="R219" s="2"/>
    </row>
    <row r="220" spans="1:18" x14ac:dyDescent="0.35">
      <c r="A220" s="57">
        <v>108</v>
      </c>
      <c r="B220" s="57" t="s">
        <v>12</v>
      </c>
      <c r="C220" s="57" t="s">
        <v>32</v>
      </c>
      <c r="D220" s="57" t="s">
        <v>21</v>
      </c>
      <c r="E220" s="57" t="s">
        <v>28</v>
      </c>
      <c r="F220" s="58">
        <v>7753.32</v>
      </c>
      <c r="G220" s="57">
        <v>118946</v>
      </c>
      <c r="H220" s="57">
        <v>11718</v>
      </c>
      <c r="I220" s="57">
        <v>619</v>
      </c>
      <c r="J220" s="58">
        <v>9148.9176000000007</v>
      </c>
      <c r="K220" s="55">
        <f t="shared" si="12"/>
        <v>0.18000000000000013</v>
      </c>
      <c r="L220" s="56">
        <f t="shared" si="13"/>
        <v>0.18000000000000013</v>
      </c>
      <c r="M220" s="56" t="str">
        <f t="shared" si="14"/>
        <v/>
      </c>
      <c r="N220" s="56" t="str">
        <f t="shared" si="15"/>
        <v>OK</v>
      </c>
      <c r="O220" s="2"/>
      <c r="P220" s="27"/>
      <c r="Q220" s="2"/>
      <c r="R220" s="2"/>
    </row>
    <row r="221" spans="1:18" x14ac:dyDescent="0.35">
      <c r="A221" s="57">
        <v>58</v>
      </c>
      <c r="B221" s="57" t="s">
        <v>11</v>
      </c>
      <c r="C221" s="57" t="s">
        <v>32</v>
      </c>
      <c r="D221" s="57" t="s">
        <v>20</v>
      </c>
      <c r="E221" s="57" t="s">
        <v>24</v>
      </c>
      <c r="F221" s="58">
        <v>6289.24</v>
      </c>
      <c r="G221" s="57">
        <v>927154</v>
      </c>
      <c r="H221" s="57">
        <v>9832</v>
      </c>
      <c r="I221" s="57">
        <v>1654</v>
      </c>
      <c r="J221" s="58">
        <v>7484.1956</v>
      </c>
      <c r="K221" s="55">
        <f t="shared" si="12"/>
        <v>0.19000000000000003</v>
      </c>
      <c r="L221" s="56">
        <f t="shared" si="13"/>
        <v>0.19000000000000003</v>
      </c>
      <c r="M221" s="56" t="str">
        <f t="shared" si="14"/>
        <v/>
      </c>
      <c r="N221" s="56" t="str">
        <f t="shared" si="15"/>
        <v>OK</v>
      </c>
      <c r="O221" s="2"/>
      <c r="P221" s="27"/>
      <c r="Q221" s="2"/>
      <c r="R221" s="2"/>
    </row>
    <row r="222" spans="1:18" x14ac:dyDescent="0.35">
      <c r="A222" s="53">
        <v>431</v>
      </c>
      <c r="B222" s="53" t="s">
        <v>11</v>
      </c>
      <c r="C222" s="53" t="s">
        <v>32</v>
      </c>
      <c r="D222" s="53" t="s">
        <v>20</v>
      </c>
      <c r="E222" s="53" t="s">
        <v>24</v>
      </c>
      <c r="F222" s="54">
        <v>14979.23</v>
      </c>
      <c r="G222" s="53">
        <v>239577</v>
      </c>
      <c r="H222" s="53">
        <v>4024</v>
      </c>
      <c r="I222" s="53">
        <v>1049</v>
      </c>
      <c r="J222" s="54">
        <v>17825.2837</v>
      </c>
      <c r="K222" s="55">
        <f t="shared" si="12"/>
        <v>0.19000000000000003</v>
      </c>
      <c r="L222" s="56">
        <f t="shared" si="13"/>
        <v>0.19000000000000003</v>
      </c>
      <c r="M222" s="56" t="str">
        <f t="shared" si="14"/>
        <v/>
      </c>
      <c r="N222" s="56" t="str">
        <f t="shared" si="15"/>
        <v>OK</v>
      </c>
      <c r="O222" s="2"/>
      <c r="P222" s="27"/>
      <c r="Q222" s="2"/>
      <c r="R222" s="2"/>
    </row>
    <row r="223" spans="1:18" x14ac:dyDescent="0.35">
      <c r="A223" s="57">
        <v>544</v>
      </c>
      <c r="B223" s="57" t="s">
        <v>14</v>
      </c>
      <c r="C223" s="57" t="s">
        <v>32</v>
      </c>
      <c r="D223" s="57" t="s">
        <v>18</v>
      </c>
      <c r="E223" s="57" t="s">
        <v>27</v>
      </c>
      <c r="F223" s="58">
        <v>9420.58</v>
      </c>
      <c r="G223" s="57">
        <v>612801</v>
      </c>
      <c r="H223" s="57">
        <v>3883</v>
      </c>
      <c r="I223" s="57">
        <v>242</v>
      </c>
      <c r="J223" s="58">
        <v>11210.4902</v>
      </c>
      <c r="K223" s="55">
        <f t="shared" si="12"/>
        <v>0.19000000000000003</v>
      </c>
      <c r="L223" s="56">
        <f t="shared" si="13"/>
        <v>0.19000000000000003</v>
      </c>
      <c r="M223" s="56" t="str">
        <f t="shared" si="14"/>
        <v/>
      </c>
      <c r="N223" s="56" t="str">
        <f t="shared" si="15"/>
        <v>OK</v>
      </c>
      <c r="O223" s="2"/>
      <c r="P223" s="27"/>
      <c r="Q223" s="2"/>
      <c r="R223" s="2"/>
    </row>
    <row r="224" spans="1:18" x14ac:dyDescent="0.35">
      <c r="A224" s="53">
        <v>223</v>
      </c>
      <c r="B224" s="53" t="s">
        <v>10</v>
      </c>
      <c r="C224" s="53" t="s">
        <v>31</v>
      </c>
      <c r="D224" s="53" t="s">
        <v>18</v>
      </c>
      <c r="E224" s="53" t="s">
        <v>28</v>
      </c>
      <c r="F224" s="54">
        <v>16126.24</v>
      </c>
      <c r="G224" s="53">
        <v>563172</v>
      </c>
      <c r="H224" s="53">
        <v>19639</v>
      </c>
      <c r="I224" s="53">
        <v>390</v>
      </c>
      <c r="J224" s="54">
        <v>19190.225600000002</v>
      </c>
      <c r="K224" s="55">
        <f t="shared" si="12"/>
        <v>0.19000000000000011</v>
      </c>
      <c r="L224" s="56" t="str">
        <f t="shared" si="13"/>
        <v/>
      </c>
      <c r="M224" s="56">
        <f t="shared" si="14"/>
        <v>0.19000000000000011</v>
      </c>
      <c r="N224" s="56" t="str">
        <f t="shared" si="15"/>
        <v>OK</v>
      </c>
      <c r="O224" s="2"/>
      <c r="P224" s="27"/>
      <c r="Q224" s="2"/>
      <c r="R224" s="2"/>
    </row>
    <row r="225" spans="1:18" x14ac:dyDescent="0.35">
      <c r="A225" s="53">
        <v>737</v>
      </c>
      <c r="B225" s="53" t="s">
        <v>12</v>
      </c>
      <c r="C225" s="53" t="s">
        <v>32</v>
      </c>
      <c r="D225" s="53" t="s">
        <v>18</v>
      </c>
      <c r="E225" s="53" t="s">
        <v>28</v>
      </c>
      <c r="F225" s="54">
        <v>14736.39</v>
      </c>
      <c r="G225" s="53">
        <v>233492</v>
      </c>
      <c r="H225" s="53">
        <v>13667</v>
      </c>
      <c r="I225" s="53">
        <v>551</v>
      </c>
      <c r="J225" s="54">
        <v>17536.304100000001</v>
      </c>
      <c r="K225" s="55">
        <f t="shared" si="12"/>
        <v>0.19000000000000014</v>
      </c>
      <c r="L225" s="56">
        <f t="shared" si="13"/>
        <v>0.19000000000000014</v>
      </c>
      <c r="M225" s="56" t="str">
        <f t="shared" si="14"/>
        <v/>
      </c>
      <c r="N225" s="56" t="str">
        <f t="shared" si="15"/>
        <v>OK</v>
      </c>
      <c r="O225" s="2"/>
      <c r="P225" s="27"/>
      <c r="Q225" s="2"/>
      <c r="R225" s="2"/>
    </row>
    <row r="226" spans="1:18" x14ac:dyDescent="0.35">
      <c r="A226" s="57">
        <v>4</v>
      </c>
      <c r="B226" s="57" t="s">
        <v>8</v>
      </c>
      <c r="C226" s="57" t="s">
        <v>31</v>
      </c>
      <c r="D226" s="57" t="s">
        <v>18</v>
      </c>
      <c r="E226" s="57" t="s">
        <v>24</v>
      </c>
      <c r="F226" s="58">
        <v>5048.2700000000004</v>
      </c>
      <c r="G226" s="57">
        <v>434528</v>
      </c>
      <c r="H226" s="57">
        <v>153</v>
      </c>
      <c r="I226" s="57">
        <v>335</v>
      </c>
      <c r="J226" s="58">
        <v>6057.924</v>
      </c>
      <c r="K226" s="55">
        <f t="shared" si="12"/>
        <v>0.1999999999999999</v>
      </c>
      <c r="L226" s="56" t="str">
        <f t="shared" si="13"/>
        <v/>
      </c>
      <c r="M226" s="56">
        <f t="shared" si="14"/>
        <v>0.1999999999999999</v>
      </c>
      <c r="N226" s="56" t="str">
        <f t="shared" si="15"/>
        <v>ERROR: Conversions &gt; Clicks</v>
      </c>
      <c r="O226" s="2"/>
      <c r="P226" s="27"/>
      <c r="Q226" s="2"/>
      <c r="R226" s="2"/>
    </row>
    <row r="227" spans="1:18" x14ac:dyDescent="0.35">
      <c r="A227" s="57">
        <v>520</v>
      </c>
      <c r="B227" s="57" t="s">
        <v>14</v>
      </c>
      <c r="C227" s="57" t="s">
        <v>32</v>
      </c>
      <c r="D227" s="57" t="s">
        <v>20</v>
      </c>
      <c r="E227" s="57" t="s">
        <v>24</v>
      </c>
      <c r="F227" s="58">
        <v>36161.03</v>
      </c>
      <c r="G227" s="57">
        <v>851708</v>
      </c>
      <c r="H227" s="57">
        <v>2144</v>
      </c>
      <c r="I227" s="57">
        <v>1099</v>
      </c>
      <c r="J227" s="58">
        <v>43393.235999999997</v>
      </c>
      <c r="K227" s="55">
        <f t="shared" si="12"/>
        <v>0.19999999999999996</v>
      </c>
      <c r="L227" s="56">
        <f t="shared" si="13"/>
        <v>0.19999999999999996</v>
      </c>
      <c r="M227" s="56" t="str">
        <f t="shared" si="14"/>
        <v/>
      </c>
      <c r="N227" s="56" t="str">
        <f t="shared" si="15"/>
        <v>OK</v>
      </c>
      <c r="O227" s="2"/>
      <c r="P227" s="27"/>
      <c r="Q227" s="2"/>
      <c r="R227" s="2"/>
    </row>
    <row r="228" spans="1:18" x14ac:dyDescent="0.35">
      <c r="A228" s="57">
        <v>706</v>
      </c>
      <c r="B228" s="57" t="s">
        <v>15</v>
      </c>
      <c r="C228" s="57" t="s">
        <v>32</v>
      </c>
      <c r="D228" s="57" t="s">
        <v>17</v>
      </c>
      <c r="E228" s="57" t="s">
        <v>28</v>
      </c>
      <c r="F228" s="58">
        <v>36967.46</v>
      </c>
      <c r="G228" s="57">
        <v>854052</v>
      </c>
      <c r="H228" s="57">
        <v>19661</v>
      </c>
      <c r="I228" s="57">
        <v>1058</v>
      </c>
      <c r="J228" s="58">
        <v>44360.951999999997</v>
      </c>
      <c r="K228" s="55">
        <f t="shared" si="12"/>
        <v>0.19999999999999996</v>
      </c>
      <c r="L228" s="56">
        <f t="shared" si="13"/>
        <v>0.19999999999999996</v>
      </c>
      <c r="M228" s="56" t="str">
        <f t="shared" si="14"/>
        <v/>
      </c>
      <c r="N228" s="56" t="str">
        <f t="shared" si="15"/>
        <v>OK</v>
      </c>
      <c r="O228" s="2"/>
      <c r="P228" s="27"/>
      <c r="Q228" s="2"/>
      <c r="R228" s="2"/>
    </row>
    <row r="229" spans="1:18" x14ac:dyDescent="0.35">
      <c r="A229" s="57">
        <v>796</v>
      </c>
      <c r="B229" s="57" t="s">
        <v>8</v>
      </c>
      <c r="C229" s="57" t="s">
        <v>31</v>
      </c>
      <c r="D229" s="57" t="s">
        <v>21</v>
      </c>
      <c r="E229" s="57" t="s">
        <v>29</v>
      </c>
      <c r="F229" s="58">
        <v>39367.82</v>
      </c>
      <c r="G229" s="57">
        <v>321442</v>
      </c>
      <c r="H229" s="57">
        <v>6056</v>
      </c>
      <c r="I229" s="57">
        <v>1301</v>
      </c>
      <c r="J229" s="58">
        <v>47241.383999999998</v>
      </c>
      <c r="K229" s="55">
        <f t="shared" si="12"/>
        <v>0.19999999999999996</v>
      </c>
      <c r="L229" s="56" t="str">
        <f t="shared" si="13"/>
        <v/>
      </c>
      <c r="M229" s="56">
        <f t="shared" si="14"/>
        <v>0.19999999999999996</v>
      </c>
      <c r="N229" s="56" t="str">
        <f t="shared" si="15"/>
        <v>OK</v>
      </c>
      <c r="O229" s="2"/>
      <c r="P229" s="27"/>
      <c r="Q229" s="2"/>
      <c r="R229" s="2"/>
    </row>
    <row r="230" spans="1:18" x14ac:dyDescent="0.35">
      <c r="A230" s="53">
        <v>69</v>
      </c>
      <c r="B230" s="53" t="s">
        <v>12</v>
      </c>
      <c r="C230" s="53" t="s">
        <v>32</v>
      </c>
      <c r="D230" s="53" t="s">
        <v>19</v>
      </c>
      <c r="E230" s="53" t="s">
        <v>29</v>
      </c>
      <c r="F230" s="54">
        <v>6190.6</v>
      </c>
      <c r="G230" s="53">
        <v>408172</v>
      </c>
      <c r="H230" s="53">
        <v>12491</v>
      </c>
      <c r="I230" s="53">
        <v>662</v>
      </c>
      <c r="J230" s="54">
        <v>7428.72</v>
      </c>
      <c r="K230" s="55">
        <f t="shared" si="12"/>
        <v>0.19999999999999998</v>
      </c>
      <c r="L230" s="56">
        <f t="shared" si="13"/>
        <v>0.19999999999999998</v>
      </c>
      <c r="M230" s="56" t="str">
        <f t="shared" si="14"/>
        <v/>
      </c>
      <c r="N230" s="56" t="str">
        <f t="shared" si="15"/>
        <v>OK</v>
      </c>
      <c r="O230" s="2"/>
      <c r="P230" s="27"/>
      <c r="Q230" s="2"/>
      <c r="R230" s="2"/>
    </row>
    <row r="231" spans="1:18" x14ac:dyDescent="0.35">
      <c r="A231" s="53">
        <v>65</v>
      </c>
      <c r="B231" s="53" t="s">
        <v>8</v>
      </c>
      <c r="C231" s="53" t="s">
        <v>31</v>
      </c>
      <c r="D231" s="53" t="s">
        <v>18</v>
      </c>
      <c r="E231" s="53" t="s">
        <v>27</v>
      </c>
      <c r="F231" s="54">
        <v>21257.41</v>
      </c>
      <c r="G231" s="53">
        <v>926496</v>
      </c>
      <c r="H231" s="53">
        <v>14110</v>
      </c>
      <c r="I231" s="53">
        <v>1135</v>
      </c>
      <c r="J231" s="54">
        <v>25508.892</v>
      </c>
      <c r="K231" s="55">
        <f t="shared" si="12"/>
        <v>0.2</v>
      </c>
      <c r="L231" s="56" t="str">
        <f t="shared" si="13"/>
        <v/>
      </c>
      <c r="M231" s="56">
        <f t="shared" si="14"/>
        <v>0.2</v>
      </c>
      <c r="N231" s="56" t="str">
        <f t="shared" si="15"/>
        <v>OK</v>
      </c>
      <c r="O231" s="2"/>
      <c r="P231" s="27"/>
      <c r="Q231" s="2"/>
      <c r="R231" s="2"/>
    </row>
    <row r="232" spans="1:18" x14ac:dyDescent="0.35">
      <c r="A232" s="57">
        <v>678</v>
      </c>
      <c r="B232" s="57" t="s">
        <v>13</v>
      </c>
      <c r="C232" s="57" t="s">
        <v>32</v>
      </c>
      <c r="D232" s="57" t="s">
        <v>21</v>
      </c>
      <c r="E232" s="57" t="s">
        <v>28</v>
      </c>
      <c r="F232" s="58">
        <v>25104.62</v>
      </c>
      <c r="G232" s="57">
        <v>984208</v>
      </c>
      <c r="H232" s="57">
        <v>16344</v>
      </c>
      <c r="I232" s="57">
        <v>1388</v>
      </c>
      <c r="J232" s="58">
        <v>30125.544000000002</v>
      </c>
      <c r="K232" s="55">
        <f t="shared" si="12"/>
        <v>0.20000000000000012</v>
      </c>
      <c r="L232" s="56">
        <f t="shared" si="13"/>
        <v>0.20000000000000012</v>
      </c>
      <c r="M232" s="56" t="str">
        <f t="shared" si="14"/>
        <v/>
      </c>
      <c r="N232" s="56" t="str">
        <f t="shared" si="15"/>
        <v>OK</v>
      </c>
      <c r="O232" s="2"/>
      <c r="P232" s="27"/>
      <c r="Q232" s="2"/>
      <c r="R232" s="2"/>
    </row>
    <row r="233" spans="1:18" x14ac:dyDescent="0.35">
      <c r="A233" s="53">
        <v>61</v>
      </c>
      <c r="B233" s="53" t="s">
        <v>9</v>
      </c>
      <c r="C233" s="53" t="s">
        <v>31</v>
      </c>
      <c r="D233" s="53" t="s">
        <v>17</v>
      </c>
      <c r="E233" s="53" t="s">
        <v>29</v>
      </c>
      <c r="F233" s="54">
        <v>48291.360000000001</v>
      </c>
      <c r="G233" s="53">
        <v>136310</v>
      </c>
      <c r="H233" s="53">
        <v>18321</v>
      </c>
      <c r="I233" s="53">
        <v>1712</v>
      </c>
      <c r="J233" s="54">
        <v>58432.545599999998</v>
      </c>
      <c r="K233" s="55">
        <f t="shared" si="12"/>
        <v>0.20999999999999994</v>
      </c>
      <c r="L233" s="56" t="str">
        <f t="shared" si="13"/>
        <v/>
      </c>
      <c r="M233" s="56">
        <f t="shared" si="14"/>
        <v>0.20999999999999994</v>
      </c>
      <c r="N233" s="56" t="str">
        <f t="shared" si="15"/>
        <v>OK</v>
      </c>
      <c r="O233" s="2"/>
      <c r="P233" s="27"/>
      <c r="Q233" s="2"/>
      <c r="R233" s="2"/>
    </row>
    <row r="234" spans="1:18" x14ac:dyDescent="0.35">
      <c r="A234" s="53">
        <v>523</v>
      </c>
      <c r="B234" s="53" t="s">
        <v>10</v>
      </c>
      <c r="C234" s="53" t="s">
        <v>31</v>
      </c>
      <c r="D234" s="53" t="s">
        <v>17</v>
      </c>
      <c r="E234" s="53" t="s">
        <v>27</v>
      </c>
      <c r="F234" s="54">
        <v>43708.29</v>
      </c>
      <c r="G234" s="53">
        <v>70272</v>
      </c>
      <c r="H234" s="53">
        <v>5984</v>
      </c>
      <c r="I234" s="53">
        <v>184</v>
      </c>
      <c r="J234" s="54">
        <v>52887.030899999998</v>
      </c>
      <c r="K234" s="55">
        <f t="shared" si="12"/>
        <v>0.20999999999999994</v>
      </c>
      <c r="L234" s="56" t="str">
        <f t="shared" si="13"/>
        <v/>
      </c>
      <c r="M234" s="56">
        <f t="shared" si="14"/>
        <v>0.20999999999999994</v>
      </c>
      <c r="N234" s="56" t="str">
        <f t="shared" si="15"/>
        <v>OK</v>
      </c>
      <c r="O234" s="2"/>
      <c r="P234" s="27"/>
      <c r="Q234" s="2"/>
      <c r="R234" s="2"/>
    </row>
    <row r="235" spans="1:18" x14ac:dyDescent="0.35">
      <c r="A235" s="53">
        <v>195</v>
      </c>
      <c r="B235" s="53" t="s">
        <v>8</v>
      </c>
      <c r="C235" s="53" t="s">
        <v>31</v>
      </c>
      <c r="D235" s="53" t="s">
        <v>22</v>
      </c>
      <c r="E235" s="53" t="s">
        <v>28</v>
      </c>
      <c r="F235" s="54">
        <v>19189.150000000001</v>
      </c>
      <c r="G235" s="53">
        <v>750389</v>
      </c>
      <c r="H235" s="53">
        <v>18743</v>
      </c>
      <c r="I235" s="53">
        <v>631</v>
      </c>
      <c r="J235" s="54">
        <v>23218.871500000001</v>
      </c>
      <c r="K235" s="55">
        <f t="shared" si="12"/>
        <v>0.20999999999999996</v>
      </c>
      <c r="L235" s="56" t="str">
        <f t="shared" si="13"/>
        <v/>
      </c>
      <c r="M235" s="56">
        <f t="shared" si="14"/>
        <v>0.20999999999999996</v>
      </c>
      <c r="N235" s="56" t="str">
        <f t="shared" si="15"/>
        <v>OK</v>
      </c>
      <c r="O235" s="2"/>
      <c r="P235" s="27"/>
      <c r="Q235" s="2"/>
      <c r="R235" s="2"/>
    </row>
    <row r="236" spans="1:18" x14ac:dyDescent="0.35">
      <c r="A236" s="53">
        <v>697</v>
      </c>
      <c r="B236" s="53" t="s">
        <v>8</v>
      </c>
      <c r="C236" s="53" t="s">
        <v>31</v>
      </c>
      <c r="D236" s="53" t="s">
        <v>19</v>
      </c>
      <c r="E236" s="53" t="s">
        <v>29</v>
      </c>
      <c r="F236" s="54">
        <v>1155.22</v>
      </c>
      <c r="G236" s="53">
        <v>785107</v>
      </c>
      <c r="H236" s="53">
        <v>4652</v>
      </c>
      <c r="I236" s="53">
        <v>500</v>
      </c>
      <c r="J236" s="54">
        <v>1397.8162</v>
      </c>
      <c r="K236" s="55">
        <f t="shared" si="12"/>
        <v>0.20999999999999996</v>
      </c>
      <c r="L236" s="56" t="str">
        <f t="shared" si="13"/>
        <v/>
      </c>
      <c r="M236" s="56">
        <f t="shared" si="14"/>
        <v>0.20999999999999996</v>
      </c>
      <c r="N236" s="56" t="str">
        <f t="shared" si="15"/>
        <v>OK</v>
      </c>
      <c r="O236" s="2"/>
      <c r="P236" s="27"/>
      <c r="Q236" s="2"/>
      <c r="R236" s="2"/>
    </row>
    <row r="237" spans="1:18" x14ac:dyDescent="0.35">
      <c r="A237" s="57">
        <v>530</v>
      </c>
      <c r="B237" s="57" t="s">
        <v>14</v>
      </c>
      <c r="C237" s="57" t="s">
        <v>32</v>
      </c>
      <c r="D237" s="57" t="s">
        <v>22</v>
      </c>
      <c r="E237" s="57" t="s">
        <v>29</v>
      </c>
      <c r="F237" s="58">
        <v>27929.599999999999</v>
      </c>
      <c r="G237" s="57">
        <v>116121</v>
      </c>
      <c r="H237" s="57">
        <v>2772</v>
      </c>
      <c r="I237" s="57">
        <v>1794</v>
      </c>
      <c r="J237" s="58">
        <v>33794.815999999999</v>
      </c>
      <c r="K237" s="55">
        <f t="shared" si="12"/>
        <v>0.21000000000000002</v>
      </c>
      <c r="L237" s="56">
        <f t="shared" si="13"/>
        <v>0.21000000000000002</v>
      </c>
      <c r="M237" s="56" t="str">
        <f t="shared" si="14"/>
        <v/>
      </c>
      <c r="N237" s="56" t="str">
        <f t="shared" si="15"/>
        <v>OK</v>
      </c>
      <c r="O237" s="2"/>
      <c r="P237" s="27"/>
      <c r="Q237" s="2"/>
      <c r="R237" s="2"/>
    </row>
    <row r="238" spans="1:18" x14ac:dyDescent="0.35">
      <c r="A238" s="53">
        <v>233</v>
      </c>
      <c r="B238" s="53" t="s">
        <v>12</v>
      </c>
      <c r="C238" s="53" t="s">
        <v>32</v>
      </c>
      <c r="D238" s="53" t="s">
        <v>19</v>
      </c>
      <c r="E238" s="53" t="s">
        <v>26</v>
      </c>
      <c r="F238" s="54">
        <v>49045.32</v>
      </c>
      <c r="G238" s="53">
        <v>712495</v>
      </c>
      <c r="H238" s="53">
        <v>17133</v>
      </c>
      <c r="I238" s="53">
        <v>1549</v>
      </c>
      <c r="J238" s="54">
        <v>59344.837200000002</v>
      </c>
      <c r="K238" s="55">
        <f t="shared" si="12"/>
        <v>0.21000000000000005</v>
      </c>
      <c r="L238" s="56">
        <f t="shared" si="13"/>
        <v>0.21000000000000005</v>
      </c>
      <c r="M238" s="56" t="str">
        <f t="shared" si="14"/>
        <v/>
      </c>
      <c r="N238" s="56" t="str">
        <f t="shared" si="15"/>
        <v>OK</v>
      </c>
      <c r="O238" s="2"/>
      <c r="P238" s="27"/>
      <c r="Q238" s="2"/>
      <c r="R238" s="2"/>
    </row>
    <row r="239" spans="1:18" x14ac:dyDescent="0.35">
      <c r="A239" s="53">
        <v>541</v>
      </c>
      <c r="B239" s="53" t="s">
        <v>8</v>
      </c>
      <c r="C239" s="53" t="s">
        <v>31</v>
      </c>
      <c r="D239" s="53" t="s">
        <v>22</v>
      </c>
      <c r="E239" s="53" t="s">
        <v>25</v>
      </c>
      <c r="F239" s="54">
        <v>7804.69</v>
      </c>
      <c r="G239" s="53">
        <v>381344</v>
      </c>
      <c r="H239" s="53">
        <v>10477</v>
      </c>
      <c r="I239" s="53">
        <v>566</v>
      </c>
      <c r="J239" s="54">
        <v>9443.6749</v>
      </c>
      <c r="K239" s="55">
        <f t="shared" si="12"/>
        <v>0.21000000000000005</v>
      </c>
      <c r="L239" s="56" t="str">
        <f t="shared" si="13"/>
        <v/>
      </c>
      <c r="M239" s="56">
        <f t="shared" si="14"/>
        <v>0.21000000000000005</v>
      </c>
      <c r="N239" s="56" t="str">
        <f t="shared" si="15"/>
        <v>OK</v>
      </c>
      <c r="O239" s="2"/>
      <c r="P239" s="27"/>
      <c r="Q239" s="2"/>
      <c r="R239" s="2"/>
    </row>
    <row r="240" spans="1:18" x14ac:dyDescent="0.35">
      <c r="A240" s="57">
        <v>716</v>
      </c>
      <c r="B240" s="57" t="s">
        <v>13</v>
      </c>
      <c r="C240" s="57" t="s">
        <v>32</v>
      </c>
      <c r="D240" s="57" t="s">
        <v>22</v>
      </c>
      <c r="E240" s="57" t="s">
        <v>29</v>
      </c>
      <c r="F240" s="58">
        <v>36919.51</v>
      </c>
      <c r="G240" s="57">
        <v>976020</v>
      </c>
      <c r="H240" s="57">
        <v>10793</v>
      </c>
      <c r="I240" s="57">
        <v>1881</v>
      </c>
      <c r="J240" s="58">
        <v>45041.802199999998</v>
      </c>
      <c r="K240" s="55">
        <f t="shared" si="12"/>
        <v>0.21999999999999989</v>
      </c>
      <c r="L240" s="56">
        <f t="shared" si="13"/>
        <v>0.21999999999999989</v>
      </c>
      <c r="M240" s="56" t="str">
        <f t="shared" si="14"/>
        <v/>
      </c>
      <c r="N240" s="56" t="str">
        <f t="shared" si="15"/>
        <v>OK</v>
      </c>
      <c r="O240" s="2"/>
      <c r="P240" s="27"/>
      <c r="Q240" s="2"/>
      <c r="R240" s="2"/>
    </row>
    <row r="241" spans="1:18" x14ac:dyDescent="0.35">
      <c r="A241" s="57">
        <v>226</v>
      </c>
      <c r="B241" s="57" t="s">
        <v>14</v>
      </c>
      <c r="C241" s="57" t="s">
        <v>32</v>
      </c>
      <c r="D241" s="57" t="s">
        <v>18</v>
      </c>
      <c r="E241" s="57" t="s">
        <v>24</v>
      </c>
      <c r="F241" s="58">
        <v>9967.76</v>
      </c>
      <c r="G241" s="57">
        <v>549376</v>
      </c>
      <c r="H241" s="57">
        <v>4431</v>
      </c>
      <c r="I241" s="57">
        <v>829</v>
      </c>
      <c r="J241" s="58">
        <v>12160.6672</v>
      </c>
      <c r="K241" s="55">
        <f t="shared" si="12"/>
        <v>0.21999999999999997</v>
      </c>
      <c r="L241" s="56">
        <f t="shared" si="13"/>
        <v>0.21999999999999997</v>
      </c>
      <c r="M241" s="56" t="str">
        <f t="shared" si="14"/>
        <v/>
      </c>
      <c r="N241" s="56" t="str">
        <f t="shared" si="15"/>
        <v>OK</v>
      </c>
      <c r="O241" s="2"/>
      <c r="P241" s="27"/>
      <c r="Q241" s="2"/>
      <c r="R241" s="2"/>
    </row>
    <row r="242" spans="1:18" x14ac:dyDescent="0.35">
      <c r="A242" s="57">
        <v>370</v>
      </c>
      <c r="B242" s="57" t="s">
        <v>8</v>
      </c>
      <c r="C242" s="57" t="s">
        <v>31</v>
      </c>
      <c r="D242" s="57" t="s">
        <v>22</v>
      </c>
      <c r="E242" s="57" t="s">
        <v>28</v>
      </c>
      <c r="F242" s="58">
        <v>11560.96</v>
      </c>
      <c r="G242" s="57">
        <v>850179</v>
      </c>
      <c r="H242" s="57">
        <v>7546</v>
      </c>
      <c r="I242" s="57">
        <v>1218</v>
      </c>
      <c r="J242" s="58">
        <v>14104.3712</v>
      </c>
      <c r="K242" s="55">
        <f t="shared" si="12"/>
        <v>0.22000000000000006</v>
      </c>
      <c r="L242" s="56" t="str">
        <f t="shared" si="13"/>
        <v/>
      </c>
      <c r="M242" s="56">
        <f t="shared" si="14"/>
        <v>0.22000000000000006</v>
      </c>
      <c r="N242" s="56" t="str">
        <f t="shared" si="15"/>
        <v>OK</v>
      </c>
      <c r="O242" s="2"/>
      <c r="P242" s="27"/>
      <c r="Q242" s="2"/>
      <c r="R242" s="2"/>
    </row>
    <row r="243" spans="1:18" x14ac:dyDescent="0.35">
      <c r="A243" s="53">
        <v>901</v>
      </c>
      <c r="B243" s="53" t="s">
        <v>15</v>
      </c>
      <c r="C243" s="53" t="s">
        <v>32</v>
      </c>
      <c r="D243" s="53" t="s">
        <v>22</v>
      </c>
      <c r="E243" s="53" t="s">
        <v>25</v>
      </c>
      <c r="F243" s="54">
        <v>37212.300000000003</v>
      </c>
      <c r="G243" s="53">
        <v>12763</v>
      </c>
      <c r="H243" s="53">
        <v>15775</v>
      </c>
      <c r="I243" s="53">
        <v>1159</v>
      </c>
      <c r="J243" s="54">
        <v>45771.129000000001</v>
      </c>
      <c r="K243" s="55">
        <f t="shared" si="12"/>
        <v>0.22999999999999993</v>
      </c>
      <c r="L243" s="56">
        <f t="shared" si="13"/>
        <v>0.22999999999999993</v>
      </c>
      <c r="M243" s="56" t="str">
        <f t="shared" si="14"/>
        <v/>
      </c>
      <c r="N243" s="56" t="str">
        <f t="shared" si="15"/>
        <v>ERROR: Clicks &gt; Impressions</v>
      </c>
      <c r="O243" s="2"/>
      <c r="P243" s="27"/>
      <c r="Q243" s="2"/>
      <c r="R243" s="2"/>
    </row>
    <row r="244" spans="1:18" x14ac:dyDescent="0.35">
      <c r="A244" s="53">
        <v>409</v>
      </c>
      <c r="B244" s="53" t="s">
        <v>12</v>
      </c>
      <c r="C244" s="53" t="s">
        <v>32</v>
      </c>
      <c r="D244" s="53" t="s">
        <v>17</v>
      </c>
      <c r="E244" s="53" t="s">
        <v>26</v>
      </c>
      <c r="F244" s="54">
        <v>23042.27</v>
      </c>
      <c r="G244" s="53">
        <v>406981</v>
      </c>
      <c r="H244" s="53">
        <v>1817</v>
      </c>
      <c r="I244" s="53">
        <v>984</v>
      </c>
      <c r="J244" s="54">
        <v>28341.992099999999</v>
      </c>
      <c r="K244" s="55">
        <f t="shared" si="12"/>
        <v>0.22999999999999995</v>
      </c>
      <c r="L244" s="56">
        <f t="shared" si="13"/>
        <v>0.22999999999999995</v>
      </c>
      <c r="M244" s="56" t="str">
        <f t="shared" si="14"/>
        <v/>
      </c>
      <c r="N244" s="56" t="str">
        <f t="shared" si="15"/>
        <v>OK</v>
      </c>
      <c r="O244" s="2"/>
      <c r="P244" s="27"/>
      <c r="Q244" s="2"/>
      <c r="R244" s="2"/>
    </row>
    <row r="245" spans="1:18" x14ac:dyDescent="0.35">
      <c r="A245" s="53">
        <v>421</v>
      </c>
      <c r="B245" s="53" t="s">
        <v>14</v>
      </c>
      <c r="C245" s="53" t="s">
        <v>32</v>
      </c>
      <c r="D245" s="53" t="s">
        <v>17</v>
      </c>
      <c r="E245" s="53" t="s">
        <v>28</v>
      </c>
      <c r="F245" s="54">
        <v>30341.61</v>
      </c>
      <c r="G245" s="53">
        <v>261671</v>
      </c>
      <c r="H245" s="53">
        <v>18174</v>
      </c>
      <c r="I245" s="53">
        <v>131</v>
      </c>
      <c r="J245" s="54">
        <v>37320.1803</v>
      </c>
      <c r="K245" s="55">
        <f t="shared" si="12"/>
        <v>0.22999999999999998</v>
      </c>
      <c r="L245" s="56">
        <f t="shared" si="13"/>
        <v>0.22999999999999998</v>
      </c>
      <c r="M245" s="56" t="str">
        <f t="shared" si="14"/>
        <v/>
      </c>
      <c r="N245" s="56" t="str">
        <f t="shared" si="15"/>
        <v>OK</v>
      </c>
      <c r="O245" s="2"/>
      <c r="P245" s="27"/>
      <c r="Q245" s="2"/>
      <c r="R245" s="2"/>
    </row>
    <row r="246" spans="1:18" x14ac:dyDescent="0.35">
      <c r="A246" s="53">
        <v>609</v>
      </c>
      <c r="B246" s="53" t="s">
        <v>12</v>
      </c>
      <c r="C246" s="53" t="s">
        <v>32</v>
      </c>
      <c r="D246" s="53" t="s">
        <v>20</v>
      </c>
      <c r="E246" s="53" t="s">
        <v>24</v>
      </c>
      <c r="F246" s="54">
        <v>46356.23</v>
      </c>
      <c r="G246" s="53">
        <v>382397</v>
      </c>
      <c r="H246" s="53">
        <v>13369</v>
      </c>
      <c r="I246" s="53">
        <v>1385</v>
      </c>
      <c r="J246" s="54">
        <v>57018.162900000003</v>
      </c>
      <c r="K246" s="55">
        <f t="shared" si="12"/>
        <v>0.22999999999999998</v>
      </c>
      <c r="L246" s="56">
        <f t="shared" si="13"/>
        <v>0.22999999999999998</v>
      </c>
      <c r="M246" s="56" t="str">
        <f t="shared" si="14"/>
        <v/>
      </c>
      <c r="N246" s="56" t="str">
        <f t="shared" si="15"/>
        <v>OK</v>
      </c>
      <c r="O246" s="2"/>
      <c r="P246" s="27"/>
      <c r="Q246" s="2"/>
      <c r="R246" s="2"/>
    </row>
    <row r="247" spans="1:18" x14ac:dyDescent="0.35">
      <c r="A247" s="53">
        <v>15</v>
      </c>
      <c r="B247" s="53" t="s">
        <v>13</v>
      </c>
      <c r="C247" s="53" t="s">
        <v>32</v>
      </c>
      <c r="D247" s="53" t="s">
        <v>20</v>
      </c>
      <c r="E247" s="53" t="s">
        <v>25</v>
      </c>
      <c r="F247" s="54">
        <v>48031.5</v>
      </c>
      <c r="G247" s="53">
        <v>32601</v>
      </c>
      <c r="H247" s="53">
        <v>10639</v>
      </c>
      <c r="I247" s="53">
        <v>81</v>
      </c>
      <c r="J247" s="54">
        <v>59078.745000000003</v>
      </c>
      <c r="K247" s="55">
        <f t="shared" si="12"/>
        <v>0.23000000000000007</v>
      </c>
      <c r="L247" s="56">
        <f t="shared" si="13"/>
        <v>0.23000000000000007</v>
      </c>
      <c r="M247" s="56" t="str">
        <f t="shared" si="14"/>
        <v/>
      </c>
      <c r="N247" s="56" t="str">
        <f t="shared" si="15"/>
        <v>OK</v>
      </c>
      <c r="O247" s="2"/>
      <c r="P247" s="27"/>
      <c r="Q247" s="2"/>
      <c r="R247" s="2"/>
    </row>
    <row r="248" spans="1:18" x14ac:dyDescent="0.35">
      <c r="A248" s="57">
        <v>488</v>
      </c>
      <c r="B248" s="57" t="s">
        <v>12</v>
      </c>
      <c r="C248" s="57" t="s">
        <v>32</v>
      </c>
      <c r="D248" s="57" t="s">
        <v>19</v>
      </c>
      <c r="E248" s="57" t="s">
        <v>24</v>
      </c>
      <c r="F248" s="58">
        <v>42352.31</v>
      </c>
      <c r="G248" s="57">
        <v>13849</v>
      </c>
      <c r="H248" s="57">
        <v>9597</v>
      </c>
      <c r="I248" s="57">
        <v>188</v>
      </c>
      <c r="J248" s="58">
        <v>52093.3413</v>
      </c>
      <c r="K248" s="55">
        <f t="shared" si="12"/>
        <v>0.23000000000000007</v>
      </c>
      <c r="L248" s="56">
        <f t="shared" si="13"/>
        <v>0.23000000000000007</v>
      </c>
      <c r="M248" s="56" t="str">
        <f t="shared" si="14"/>
        <v/>
      </c>
      <c r="N248" s="56" t="str">
        <f t="shared" si="15"/>
        <v>OK</v>
      </c>
      <c r="O248" s="2"/>
      <c r="P248" s="27"/>
      <c r="Q248" s="2"/>
      <c r="R248" s="2"/>
    </row>
    <row r="249" spans="1:18" x14ac:dyDescent="0.35">
      <c r="A249" s="57">
        <v>772</v>
      </c>
      <c r="B249" s="57" t="s">
        <v>15</v>
      </c>
      <c r="C249" s="57" t="s">
        <v>32</v>
      </c>
      <c r="D249" s="57" t="s">
        <v>18</v>
      </c>
      <c r="E249" s="57" t="s">
        <v>27</v>
      </c>
      <c r="F249" s="58">
        <v>36269.78</v>
      </c>
      <c r="G249" s="57">
        <v>481797</v>
      </c>
      <c r="H249" s="57">
        <v>14697</v>
      </c>
      <c r="I249" s="57">
        <v>947</v>
      </c>
      <c r="J249" s="58">
        <v>44611.829400000002</v>
      </c>
      <c r="K249" s="55">
        <f t="shared" si="12"/>
        <v>0.23000000000000009</v>
      </c>
      <c r="L249" s="56">
        <f t="shared" si="13"/>
        <v>0.23000000000000009</v>
      </c>
      <c r="M249" s="56" t="str">
        <f t="shared" si="14"/>
        <v/>
      </c>
      <c r="N249" s="56" t="str">
        <f t="shared" si="15"/>
        <v>OK</v>
      </c>
      <c r="O249" s="2"/>
      <c r="P249" s="27"/>
      <c r="Q249" s="2"/>
      <c r="R249" s="2"/>
    </row>
    <row r="250" spans="1:18" x14ac:dyDescent="0.35">
      <c r="A250" s="53">
        <v>849</v>
      </c>
      <c r="B250" s="53" t="s">
        <v>8</v>
      </c>
      <c r="C250" s="53" t="s">
        <v>31</v>
      </c>
      <c r="D250" s="53" t="s">
        <v>18</v>
      </c>
      <c r="E250" s="53" t="s">
        <v>26</v>
      </c>
      <c r="F250" s="54">
        <v>19186.919999999998</v>
      </c>
      <c r="G250" s="53">
        <v>153888</v>
      </c>
      <c r="H250" s="53">
        <v>14018</v>
      </c>
      <c r="I250" s="53">
        <v>1500</v>
      </c>
      <c r="J250" s="54">
        <v>23599.911599999999</v>
      </c>
      <c r="K250" s="55">
        <f t="shared" si="12"/>
        <v>0.23000000000000009</v>
      </c>
      <c r="L250" s="56" t="str">
        <f t="shared" si="13"/>
        <v/>
      </c>
      <c r="M250" s="56">
        <f t="shared" si="14"/>
        <v>0.23000000000000009</v>
      </c>
      <c r="N250" s="56" t="str">
        <f t="shared" si="15"/>
        <v>OK</v>
      </c>
      <c r="O250" s="2"/>
      <c r="P250" s="27"/>
      <c r="Q250" s="2"/>
      <c r="R250" s="2"/>
    </row>
    <row r="251" spans="1:18" x14ac:dyDescent="0.35">
      <c r="A251" s="53">
        <v>945</v>
      </c>
      <c r="B251" s="53" t="s">
        <v>15</v>
      </c>
      <c r="C251" s="53" t="s">
        <v>32</v>
      </c>
      <c r="D251" s="53" t="s">
        <v>17</v>
      </c>
      <c r="E251" s="53" t="s">
        <v>24</v>
      </c>
      <c r="F251" s="54">
        <v>17529.669999999998</v>
      </c>
      <c r="G251" s="53">
        <v>281421</v>
      </c>
      <c r="H251" s="53">
        <v>11185</v>
      </c>
      <c r="I251" s="53">
        <v>388</v>
      </c>
      <c r="J251" s="54">
        <v>21561.4941</v>
      </c>
      <c r="K251" s="55">
        <f t="shared" si="12"/>
        <v>0.23000000000000012</v>
      </c>
      <c r="L251" s="56">
        <f t="shared" si="13"/>
        <v>0.23000000000000012</v>
      </c>
      <c r="M251" s="56" t="str">
        <f t="shared" si="14"/>
        <v/>
      </c>
      <c r="N251" s="56" t="str">
        <f t="shared" si="15"/>
        <v>OK</v>
      </c>
      <c r="O251" s="2"/>
      <c r="P251" s="27"/>
      <c r="Q251" s="2"/>
      <c r="R251" s="2"/>
    </row>
    <row r="252" spans="1:18" x14ac:dyDescent="0.35">
      <c r="A252" s="53">
        <v>631</v>
      </c>
      <c r="B252" s="53" t="s">
        <v>11</v>
      </c>
      <c r="C252" s="53" t="s">
        <v>32</v>
      </c>
      <c r="D252" s="53" t="s">
        <v>22</v>
      </c>
      <c r="E252" s="53" t="s">
        <v>29</v>
      </c>
      <c r="F252" s="54">
        <v>27080.62</v>
      </c>
      <c r="G252" s="53">
        <v>889140</v>
      </c>
      <c r="H252" s="53">
        <v>9990</v>
      </c>
      <c r="I252" s="53">
        <v>1168</v>
      </c>
      <c r="J252" s="54">
        <v>33309.162600000003</v>
      </c>
      <c r="K252" s="55">
        <f t="shared" si="12"/>
        <v>0.23000000000000018</v>
      </c>
      <c r="L252" s="56">
        <f t="shared" si="13"/>
        <v>0.23000000000000018</v>
      </c>
      <c r="M252" s="56" t="str">
        <f t="shared" si="14"/>
        <v/>
      </c>
      <c r="N252" s="56" t="str">
        <f t="shared" si="15"/>
        <v>OK</v>
      </c>
      <c r="O252" s="2"/>
      <c r="P252" s="27"/>
      <c r="Q252" s="2"/>
      <c r="R252" s="2"/>
    </row>
    <row r="253" spans="1:18" x14ac:dyDescent="0.35">
      <c r="A253" s="53">
        <v>43</v>
      </c>
      <c r="B253" s="53" t="s">
        <v>14</v>
      </c>
      <c r="C253" s="53" t="s">
        <v>32</v>
      </c>
      <c r="D253" s="53" t="s">
        <v>21</v>
      </c>
      <c r="E253" s="53" t="s">
        <v>26</v>
      </c>
      <c r="F253" s="54">
        <v>44084.160000000003</v>
      </c>
      <c r="G253" s="53">
        <v>574983</v>
      </c>
      <c r="H253" s="53">
        <v>10727</v>
      </c>
      <c r="I253" s="53">
        <v>861</v>
      </c>
      <c r="J253" s="54">
        <v>54664.358399999997</v>
      </c>
      <c r="K253" s="55">
        <f t="shared" si="12"/>
        <v>0.23999999999999985</v>
      </c>
      <c r="L253" s="56">
        <f t="shared" si="13"/>
        <v>0.23999999999999985</v>
      </c>
      <c r="M253" s="56" t="str">
        <f t="shared" si="14"/>
        <v/>
      </c>
      <c r="N253" s="56" t="str">
        <f t="shared" si="15"/>
        <v>OK</v>
      </c>
      <c r="O253" s="2"/>
      <c r="P253" s="27"/>
      <c r="Q253" s="2"/>
      <c r="R253" s="2"/>
    </row>
    <row r="254" spans="1:18" x14ac:dyDescent="0.35">
      <c r="A254" s="57">
        <v>256</v>
      </c>
      <c r="B254" s="57" t="s">
        <v>9</v>
      </c>
      <c r="C254" s="57" t="s">
        <v>31</v>
      </c>
      <c r="D254" s="57" t="s">
        <v>22</v>
      </c>
      <c r="E254" s="57" t="s">
        <v>26</v>
      </c>
      <c r="F254" s="58">
        <v>25365.54</v>
      </c>
      <c r="G254" s="57">
        <v>930114</v>
      </c>
      <c r="H254" s="57">
        <v>3473</v>
      </c>
      <c r="I254" s="57">
        <v>1577</v>
      </c>
      <c r="J254" s="58">
        <v>31453.2696</v>
      </c>
      <c r="K254" s="55">
        <f t="shared" si="12"/>
        <v>0.23999999999999994</v>
      </c>
      <c r="L254" s="56" t="str">
        <f t="shared" si="13"/>
        <v/>
      </c>
      <c r="M254" s="56">
        <f t="shared" si="14"/>
        <v>0.23999999999999994</v>
      </c>
      <c r="N254" s="56" t="str">
        <f t="shared" si="15"/>
        <v>OK</v>
      </c>
      <c r="O254" s="2"/>
      <c r="P254" s="27"/>
      <c r="Q254" s="2"/>
      <c r="R254" s="2"/>
    </row>
    <row r="255" spans="1:18" x14ac:dyDescent="0.35">
      <c r="A255" s="57">
        <v>376</v>
      </c>
      <c r="B255" s="57" t="s">
        <v>12</v>
      </c>
      <c r="C255" s="57" t="s">
        <v>32</v>
      </c>
      <c r="D255" s="57" t="s">
        <v>18</v>
      </c>
      <c r="E255" s="57" t="s">
        <v>27</v>
      </c>
      <c r="F255" s="58">
        <v>45276.78</v>
      </c>
      <c r="G255" s="57">
        <v>97051</v>
      </c>
      <c r="H255" s="57">
        <v>11038</v>
      </c>
      <c r="I255" s="57">
        <v>1943</v>
      </c>
      <c r="J255" s="58">
        <v>56143.207199999997</v>
      </c>
      <c r="K255" s="55">
        <f t="shared" si="12"/>
        <v>0.23999999999999996</v>
      </c>
      <c r="L255" s="56">
        <f t="shared" si="13"/>
        <v>0.23999999999999996</v>
      </c>
      <c r="M255" s="56" t="str">
        <f t="shared" si="14"/>
        <v/>
      </c>
      <c r="N255" s="56" t="str">
        <f t="shared" si="15"/>
        <v>OK</v>
      </c>
      <c r="O255" s="2"/>
      <c r="P255" s="27"/>
      <c r="Q255" s="2"/>
      <c r="R255" s="2"/>
    </row>
    <row r="256" spans="1:18" x14ac:dyDescent="0.35">
      <c r="A256" s="53">
        <v>819</v>
      </c>
      <c r="B256" s="53" t="s">
        <v>12</v>
      </c>
      <c r="C256" s="53" t="s">
        <v>32</v>
      </c>
      <c r="D256" s="53" t="s">
        <v>17</v>
      </c>
      <c r="E256" s="53" t="s">
        <v>29</v>
      </c>
      <c r="F256" s="54">
        <v>28666.82</v>
      </c>
      <c r="G256" s="53">
        <v>929424</v>
      </c>
      <c r="H256" s="53">
        <v>4419</v>
      </c>
      <c r="I256" s="53">
        <v>98</v>
      </c>
      <c r="J256" s="54">
        <v>35546.856800000001</v>
      </c>
      <c r="K256" s="55">
        <f t="shared" si="12"/>
        <v>0.24000000000000007</v>
      </c>
      <c r="L256" s="56">
        <f t="shared" si="13"/>
        <v>0.24000000000000007</v>
      </c>
      <c r="M256" s="56" t="str">
        <f t="shared" si="14"/>
        <v/>
      </c>
      <c r="N256" s="56" t="str">
        <f t="shared" si="15"/>
        <v>OK</v>
      </c>
      <c r="O256" s="2"/>
      <c r="P256" s="27"/>
      <c r="Q256" s="2"/>
      <c r="R256" s="2"/>
    </row>
    <row r="257" spans="1:18" x14ac:dyDescent="0.35">
      <c r="A257" s="53">
        <v>661</v>
      </c>
      <c r="B257" s="53" t="s">
        <v>13</v>
      </c>
      <c r="C257" s="53" t="s">
        <v>32</v>
      </c>
      <c r="D257" s="53" t="s">
        <v>20</v>
      </c>
      <c r="E257" s="53" t="s">
        <v>28</v>
      </c>
      <c r="F257" s="54">
        <v>7486.25</v>
      </c>
      <c r="G257" s="53">
        <v>98835</v>
      </c>
      <c r="H257" s="53">
        <v>13158</v>
      </c>
      <c r="I257" s="53">
        <v>67</v>
      </c>
      <c r="J257" s="54">
        <v>9282.9500000000007</v>
      </c>
      <c r="K257" s="55">
        <f t="shared" si="12"/>
        <v>0.2400000000000001</v>
      </c>
      <c r="L257" s="56">
        <f t="shared" si="13"/>
        <v>0.2400000000000001</v>
      </c>
      <c r="M257" s="56" t="str">
        <f t="shared" si="14"/>
        <v/>
      </c>
      <c r="N257" s="56" t="str">
        <f t="shared" si="15"/>
        <v>OK</v>
      </c>
      <c r="O257" s="2"/>
      <c r="P257" s="27"/>
      <c r="Q257" s="2"/>
      <c r="R257" s="2"/>
    </row>
    <row r="258" spans="1:18" x14ac:dyDescent="0.35">
      <c r="A258" s="53">
        <v>559</v>
      </c>
      <c r="B258" s="53" t="s">
        <v>13</v>
      </c>
      <c r="C258" s="53" t="s">
        <v>32</v>
      </c>
      <c r="D258" s="53" t="s">
        <v>22</v>
      </c>
      <c r="E258" s="53" t="s">
        <v>27</v>
      </c>
      <c r="F258" s="54">
        <v>23863.78</v>
      </c>
      <c r="G258" s="53">
        <v>433159</v>
      </c>
      <c r="H258" s="53">
        <v>18495</v>
      </c>
      <c r="I258" s="53">
        <v>1989</v>
      </c>
      <c r="J258" s="54">
        <v>29591.087200000002</v>
      </c>
      <c r="K258" s="55">
        <f t="shared" ref="K258:K321" si="16">(J258-F258)/F258</f>
        <v>0.24000000000000013</v>
      </c>
      <c r="L258" s="56">
        <f t="shared" ref="L258:L321" si="17">IF(C258="Digital",K258,"")</f>
        <v>0.24000000000000013</v>
      </c>
      <c r="M258" s="56" t="str">
        <f t="shared" ref="M258:M321" si="18">IF(C258="Traditional",K258,"")</f>
        <v/>
      </c>
      <c r="N258" s="56" t="str">
        <f t="shared" ref="N258:N321" si="19">IF(H258&gt;G258,"ERROR: Clicks &gt; Impressions",IF(I258&gt;H258,"ERROR: Conversions &gt; Clicks","OK"))</f>
        <v>OK</v>
      </c>
      <c r="O258" s="2"/>
      <c r="P258" s="27"/>
      <c r="Q258" s="2"/>
      <c r="R258" s="2"/>
    </row>
    <row r="259" spans="1:18" x14ac:dyDescent="0.35">
      <c r="A259" s="53">
        <v>165</v>
      </c>
      <c r="B259" s="53" t="s">
        <v>14</v>
      </c>
      <c r="C259" s="53" t="s">
        <v>32</v>
      </c>
      <c r="D259" s="53" t="s">
        <v>18</v>
      </c>
      <c r="E259" s="53" t="s">
        <v>24</v>
      </c>
      <c r="F259" s="54">
        <v>39346.519999999997</v>
      </c>
      <c r="G259" s="53">
        <v>780326</v>
      </c>
      <c r="H259" s="53">
        <v>8666</v>
      </c>
      <c r="I259" s="53">
        <v>1471</v>
      </c>
      <c r="J259" s="54">
        <v>48789.684800000003</v>
      </c>
      <c r="K259" s="55">
        <f t="shared" si="16"/>
        <v>0.24000000000000016</v>
      </c>
      <c r="L259" s="56">
        <f t="shared" si="17"/>
        <v>0.24000000000000016</v>
      </c>
      <c r="M259" s="56" t="str">
        <f t="shared" si="18"/>
        <v/>
      </c>
      <c r="N259" s="56" t="str">
        <f t="shared" si="19"/>
        <v>OK</v>
      </c>
      <c r="O259" s="2"/>
      <c r="P259" s="27"/>
      <c r="Q259" s="2"/>
      <c r="R259" s="2"/>
    </row>
    <row r="260" spans="1:18" x14ac:dyDescent="0.35">
      <c r="A260" s="57">
        <v>972</v>
      </c>
      <c r="B260" s="57" t="s">
        <v>8</v>
      </c>
      <c r="C260" s="57" t="s">
        <v>31</v>
      </c>
      <c r="D260" s="57" t="s">
        <v>20</v>
      </c>
      <c r="E260" s="57" t="s">
        <v>29</v>
      </c>
      <c r="F260" s="58">
        <v>7712.95</v>
      </c>
      <c r="G260" s="57">
        <v>971890</v>
      </c>
      <c r="H260" s="57">
        <v>13748</v>
      </c>
      <c r="I260" s="57">
        <v>1772</v>
      </c>
      <c r="J260" s="58">
        <v>9564.0580000000009</v>
      </c>
      <c r="K260" s="55">
        <f t="shared" si="16"/>
        <v>0.24000000000000016</v>
      </c>
      <c r="L260" s="56" t="str">
        <f t="shared" si="17"/>
        <v/>
      </c>
      <c r="M260" s="56">
        <f t="shared" si="18"/>
        <v>0.24000000000000016</v>
      </c>
      <c r="N260" s="56" t="str">
        <f t="shared" si="19"/>
        <v>OK</v>
      </c>
      <c r="O260" s="2"/>
      <c r="P260" s="27"/>
      <c r="Q260" s="2"/>
      <c r="R260" s="2"/>
    </row>
    <row r="261" spans="1:18" x14ac:dyDescent="0.35">
      <c r="A261" s="53">
        <v>847</v>
      </c>
      <c r="B261" s="53" t="s">
        <v>14</v>
      </c>
      <c r="C261" s="53" t="s">
        <v>32</v>
      </c>
      <c r="D261" s="53" t="s">
        <v>17</v>
      </c>
      <c r="E261" s="53" t="s">
        <v>25</v>
      </c>
      <c r="F261" s="54">
        <v>21374.080000000002</v>
      </c>
      <c r="G261" s="53">
        <v>257536</v>
      </c>
      <c r="H261" s="53">
        <v>11663</v>
      </c>
      <c r="I261" s="53">
        <v>1860</v>
      </c>
      <c r="J261" s="54">
        <v>26717.599999999999</v>
      </c>
      <c r="K261" s="55">
        <f t="shared" si="16"/>
        <v>0.24999999999999983</v>
      </c>
      <c r="L261" s="56">
        <f t="shared" si="17"/>
        <v>0.24999999999999983</v>
      </c>
      <c r="M261" s="56" t="str">
        <f t="shared" si="18"/>
        <v/>
      </c>
      <c r="N261" s="56" t="str">
        <f t="shared" si="19"/>
        <v>OK</v>
      </c>
      <c r="O261" s="2"/>
      <c r="P261" s="27"/>
      <c r="Q261" s="2"/>
      <c r="R261" s="2"/>
    </row>
    <row r="262" spans="1:18" x14ac:dyDescent="0.35">
      <c r="A262" s="57">
        <v>722</v>
      </c>
      <c r="B262" s="57" t="s">
        <v>9</v>
      </c>
      <c r="C262" s="57" t="s">
        <v>31</v>
      </c>
      <c r="D262" s="57" t="s">
        <v>19</v>
      </c>
      <c r="E262" s="57" t="s">
        <v>28</v>
      </c>
      <c r="F262" s="58">
        <v>5400.8</v>
      </c>
      <c r="G262" s="57">
        <v>71753</v>
      </c>
      <c r="H262" s="57">
        <v>17456</v>
      </c>
      <c r="I262" s="57">
        <v>354</v>
      </c>
      <c r="J262" s="58">
        <v>6751</v>
      </c>
      <c r="K262" s="55">
        <f t="shared" si="16"/>
        <v>0.24999999999999994</v>
      </c>
      <c r="L262" s="56" t="str">
        <f t="shared" si="17"/>
        <v/>
      </c>
      <c r="M262" s="56">
        <f t="shared" si="18"/>
        <v>0.24999999999999994</v>
      </c>
      <c r="N262" s="56" t="str">
        <f t="shared" si="19"/>
        <v>OK</v>
      </c>
      <c r="O262" s="2"/>
      <c r="P262" s="27"/>
      <c r="Q262" s="2"/>
      <c r="R262" s="2"/>
    </row>
    <row r="263" spans="1:18" x14ac:dyDescent="0.35">
      <c r="A263" s="53">
        <v>855</v>
      </c>
      <c r="B263" s="53" t="s">
        <v>8</v>
      </c>
      <c r="C263" s="53" t="s">
        <v>31</v>
      </c>
      <c r="D263" s="53" t="s">
        <v>19</v>
      </c>
      <c r="E263" s="53" t="s">
        <v>24</v>
      </c>
      <c r="F263" s="54">
        <v>2761</v>
      </c>
      <c r="G263" s="53">
        <v>574430</v>
      </c>
      <c r="H263" s="53">
        <v>12550</v>
      </c>
      <c r="I263" s="53">
        <v>225</v>
      </c>
      <c r="J263" s="54">
        <v>3451.25</v>
      </c>
      <c r="K263" s="55">
        <f t="shared" si="16"/>
        <v>0.25</v>
      </c>
      <c r="L263" s="56" t="str">
        <f t="shared" si="17"/>
        <v/>
      </c>
      <c r="M263" s="56">
        <f t="shared" si="18"/>
        <v>0.25</v>
      </c>
      <c r="N263" s="56" t="str">
        <f t="shared" si="19"/>
        <v>OK</v>
      </c>
      <c r="O263" s="2"/>
      <c r="P263" s="27"/>
      <c r="Q263" s="2"/>
      <c r="R263" s="2"/>
    </row>
    <row r="264" spans="1:18" x14ac:dyDescent="0.35">
      <c r="A264" s="53">
        <v>347</v>
      </c>
      <c r="B264" s="53" t="s">
        <v>9</v>
      </c>
      <c r="C264" s="53" t="s">
        <v>31</v>
      </c>
      <c r="D264" s="53" t="s">
        <v>19</v>
      </c>
      <c r="E264" s="53" t="s">
        <v>27</v>
      </c>
      <c r="F264" s="54">
        <v>45362.63</v>
      </c>
      <c r="G264" s="53">
        <v>852840</v>
      </c>
      <c r="H264" s="53">
        <v>4920</v>
      </c>
      <c r="I264" s="53">
        <v>1454</v>
      </c>
      <c r="J264" s="54">
        <v>56703.287499999999</v>
      </c>
      <c r="K264" s="55">
        <f t="shared" si="16"/>
        <v>0.25000000000000006</v>
      </c>
      <c r="L264" s="56" t="str">
        <f t="shared" si="17"/>
        <v/>
      </c>
      <c r="M264" s="56">
        <f t="shared" si="18"/>
        <v>0.25000000000000006</v>
      </c>
      <c r="N264" s="56" t="str">
        <f t="shared" si="19"/>
        <v>OK</v>
      </c>
      <c r="O264" s="2"/>
      <c r="P264" s="27"/>
      <c r="Q264" s="2"/>
      <c r="R264" s="2"/>
    </row>
    <row r="265" spans="1:18" x14ac:dyDescent="0.35">
      <c r="A265" s="53">
        <v>735</v>
      </c>
      <c r="B265" s="53" t="s">
        <v>14</v>
      </c>
      <c r="C265" s="53" t="s">
        <v>32</v>
      </c>
      <c r="D265" s="53" t="s">
        <v>20</v>
      </c>
      <c r="E265" s="53" t="s">
        <v>26</v>
      </c>
      <c r="F265" s="54">
        <v>20555.91</v>
      </c>
      <c r="G265" s="53">
        <v>503992</v>
      </c>
      <c r="H265" s="53">
        <v>15506</v>
      </c>
      <c r="I265" s="53">
        <v>1011</v>
      </c>
      <c r="J265" s="54">
        <v>25694.887500000001</v>
      </c>
      <c r="K265" s="55">
        <f t="shared" si="16"/>
        <v>0.25000000000000006</v>
      </c>
      <c r="L265" s="56">
        <f t="shared" si="17"/>
        <v>0.25000000000000006</v>
      </c>
      <c r="M265" s="56" t="str">
        <f t="shared" si="18"/>
        <v/>
      </c>
      <c r="N265" s="56" t="str">
        <f t="shared" si="19"/>
        <v>OK</v>
      </c>
      <c r="O265" s="2"/>
      <c r="P265" s="27"/>
      <c r="Q265" s="2"/>
      <c r="R265" s="2"/>
    </row>
    <row r="266" spans="1:18" x14ac:dyDescent="0.35">
      <c r="A266" s="53">
        <v>443</v>
      </c>
      <c r="B266" s="53" t="s">
        <v>11</v>
      </c>
      <c r="C266" s="53" t="s">
        <v>32</v>
      </c>
      <c r="D266" s="53" t="s">
        <v>21</v>
      </c>
      <c r="E266" s="53" t="s">
        <v>27</v>
      </c>
      <c r="F266" s="54">
        <v>43559.02</v>
      </c>
      <c r="G266" s="53">
        <v>662755</v>
      </c>
      <c r="H266" s="53">
        <v>1974</v>
      </c>
      <c r="I266" s="53">
        <v>1647</v>
      </c>
      <c r="J266" s="54">
        <v>54448.775000000001</v>
      </c>
      <c r="K266" s="55">
        <f t="shared" si="16"/>
        <v>0.25000000000000011</v>
      </c>
      <c r="L266" s="56">
        <f t="shared" si="17"/>
        <v>0.25000000000000011</v>
      </c>
      <c r="M266" s="56" t="str">
        <f t="shared" si="18"/>
        <v/>
      </c>
      <c r="N266" s="56" t="str">
        <f t="shared" si="19"/>
        <v>OK</v>
      </c>
      <c r="O266" s="2"/>
      <c r="P266" s="27"/>
      <c r="Q266" s="2"/>
      <c r="R266" s="2"/>
    </row>
    <row r="267" spans="1:18" x14ac:dyDescent="0.35">
      <c r="A267" s="57">
        <v>642</v>
      </c>
      <c r="B267" s="57" t="s">
        <v>10</v>
      </c>
      <c r="C267" s="57" t="s">
        <v>31</v>
      </c>
      <c r="D267" s="57" t="s">
        <v>22</v>
      </c>
      <c r="E267" s="57" t="s">
        <v>26</v>
      </c>
      <c r="F267" s="58">
        <v>41703.74</v>
      </c>
      <c r="G267" s="57">
        <v>641525</v>
      </c>
      <c r="H267" s="57">
        <v>11504</v>
      </c>
      <c r="I267" s="57">
        <v>1832</v>
      </c>
      <c r="J267" s="58">
        <v>52129.675000000003</v>
      </c>
      <c r="K267" s="55">
        <f t="shared" si="16"/>
        <v>0.25000000000000011</v>
      </c>
      <c r="L267" s="56" t="str">
        <f t="shared" si="17"/>
        <v/>
      </c>
      <c r="M267" s="56">
        <f t="shared" si="18"/>
        <v>0.25000000000000011</v>
      </c>
      <c r="N267" s="56" t="str">
        <f t="shared" si="19"/>
        <v>OK</v>
      </c>
      <c r="O267" s="2"/>
      <c r="P267" s="27"/>
      <c r="Q267" s="2"/>
      <c r="R267" s="2"/>
    </row>
    <row r="268" spans="1:18" x14ac:dyDescent="0.35">
      <c r="A268" s="57">
        <v>864</v>
      </c>
      <c r="B268" s="57" t="s">
        <v>14</v>
      </c>
      <c r="C268" s="57" t="s">
        <v>32</v>
      </c>
      <c r="D268" s="57" t="s">
        <v>20</v>
      </c>
      <c r="E268" s="57" t="s">
        <v>28</v>
      </c>
      <c r="F268" s="58">
        <v>29379.59</v>
      </c>
      <c r="G268" s="57">
        <v>505413</v>
      </c>
      <c r="H268" s="57">
        <v>2463</v>
      </c>
      <c r="I268" s="57">
        <v>279</v>
      </c>
      <c r="J268" s="58">
        <v>36724.487500000003</v>
      </c>
      <c r="K268" s="55">
        <f t="shared" si="16"/>
        <v>0.25000000000000011</v>
      </c>
      <c r="L268" s="56">
        <f t="shared" si="17"/>
        <v>0.25000000000000011</v>
      </c>
      <c r="M268" s="56" t="str">
        <f t="shared" si="18"/>
        <v/>
      </c>
      <c r="N268" s="56" t="str">
        <f t="shared" si="19"/>
        <v>OK</v>
      </c>
      <c r="O268" s="2"/>
      <c r="P268" s="27"/>
      <c r="Q268" s="2"/>
      <c r="R268" s="2"/>
    </row>
    <row r="269" spans="1:18" x14ac:dyDescent="0.35">
      <c r="A269" s="57">
        <v>92</v>
      </c>
      <c r="B269" s="57" t="s">
        <v>12</v>
      </c>
      <c r="C269" s="57" t="s">
        <v>32</v>
      </c>
      <c r="D269" s="57" t="s">
        <v>18</v>
      </c>
      <c r="E269" s="57" t="s">
        <v>26</v>
      </c>
      <c r="F269" s="58">
        <v>42554.34</v>
      </c>
      <c r="G269" s="57">
        <v>992293</v>
      </c>
      <c r="H269" s="57">
        <v>4694</v>
      </c>
      <c r="I269" s="57">
        <v>146</v>
      </c>
      <c r="J269" s="58">
        <v>53192.925000000003</v>
      </c>
      <c r="K269" s="55">
        <f t="shared" si="16"/>
        <v>0.25000000000000017</v>
      </c>
      <c r="L269" s="56">
        <f t="shared" si="17"/>
        <v>0.25000000000000017</v>
      </c>
      <c r="M269" s="56" t="str">
        <f t="shared" si="18"/>
        <v/>
      </c>
      <c r="N269" s="56" t="str">
        <f t="shared" si="19"/>
        <v>OK</v>
      </c>
      <c r="O269" s="2"/>
      <c r="P269" s="27"/>
      <c r="Q269" s="2"/>
      <c r="R269" s="2"/>
    </row>
    <row r="270" spans="1:18" x14ac:dyDescent="0.35">
      <c r="A270" s="53">
        <v>473</v>
      </c>
      <c r="B270" s="53" t="s">
        <v>9</v>
      </c>
      <c r="C270" s="53" t="s">
        <v>31</v>
      </c>
      <c r="D270" s="53" t="s">
        <v>17</v>
      </c>
      <c r="E270" s="53" t="s">
        <v>29</v>
      </c>
      <c r="F270" s="54">
        <v>30599.51</v>
      </c>
      <c r="G270" s="53">
        <v>121541</v>
      </c>
      <c r="H270" s="53">
        <v>4667</v>
      </c>
      <c r="I270" s="53">
        <v>974</v>
      </c>
      <c r="J270" s="54">
        <v>38555.382599999997</v>
      </c>
      <c r="K270" s="55">
        <f t="shared" si="16"/>
        <v>0.25999999999999995</v>
      </c>
      <c r="L270" s="56" t="str">
        <f t="shared" si="17"/>
        <v/>
      </c>
      <c r="M270" s="56">
        <f t="shared" si="18"/>
        <v>0.25999999999999995</v>
      </c>
      <c r="N270" s="56" t="str">
        <f t="shared" si="19"/>
        <v>OK</v>
      </c>
      <c r="O270" s="2"/>
      <c r="P270" s="27"/>
      <c r="Q270" s="2"/>
      <c r="R270" s="2"/>
    </row>
    <row r="271" spans="1:18" x14ac:dyDescent="0.35">
      <c r="A271" s="57">
        <v>686</v>
      </c>
      <c r="B271" s="57" t="s">
        <v>10</v>
      </c>
      <c r="C271" s="57" t="s">
        <v>31</v>
      </c>
      <c r="D271" s="57" t="s">
        <v>17</v>
      </c>
      <c r="E271" s="57" t="s">
        <v>24</v>
      </c>
      <c r="F271" s="58">
        <v>18751.14</v>
      </c>
      <c r="G271" s="57">
        <v>438745</v>
      </c>
      <c r="H271" s="57">
        <v>19025</v>
      </c>
      <c r="I271" s="57">
        <v>902</v>
      </c>
      <c r="J271" s="58">
        <v>23626.436399999999</v>
      </c>
      <c r="K271" s="55">
        <f t="shared" si="16"/>
        <v>0.25999999999999995</v>
      </c>
      <c r="L271" s="56" t="str">
        <f t="shared" si="17"/>
        <v/>
      </c>
      <c r="M271" s="56">
        <f t="shared" si="18"/>
        <v>0.25999999999999995</v>
      </c>
      <c r="N271" s="56" t="str">
        <f t="shared" si="19"/>
        <v>OK</v>
      </c>
      <c r="O271" s="2"/>
      <c r="P271" s="27"/>
      <c r="Q271" s="2"/>
      <c r="R271" s="2"/>
    </row>
    <row r="272" spans="1:18" x14ac:dyDescent="0.35">
      <c r="A272" s="53">
        <v>789</v>
      </c>
      <c r="B272" s="53" t="s">
        <v>13</v>
      </c>
      <c r="C272" s="53" t="s">
        <v>32</v>
      </c>
      <c r="D272" s="53" t="s">
        <v>22</v>
      </c>
      <c r="E272" s="53" t="s">
        <v>25</v>
      </c>
      <c r="F272" s="54">
        <v>44217.62</v>
      </c>
      <c r="G272" s="53">
        <v>382251</v>
      </c>
      <c r="H272" s="53">
        <v>18543</v>
      </c>
      <c r="I272" s="53">
        <v>494</v>
      </c>
      <c r="J272" s="54">
        <v>55714.201200000003</v>
      </c>
      <c r="K272" s="55">
        <f t="shared" si="16"/>
        <v>0.26</v>
      </c>
      <c r="L272" s="56">
        <f t="shared" si="17"/>
        <v>0.26</v>
      </c>
      <c r="M272" s="56" t="str">
        <f t="shared" si="18"/>
        <v/>
      </c>
      <c r="N272" s="56" t="str">
        <f t="shared" si="19"/>
        <v>OK</v>
      </c>
      <c r="O272" s="2"/>
      <c r="P272" s="27"/>
      <c r="Q272" s="2"/>
      <c r="R272" s="2"/>
    </row>
    <row r="273" spans="1:18" x14ac:dyDescent="0.35">
      <c r="A273" s="57">
        <v>776</v>
      </c>
      <c r="B273" s="57" t="s">
        <v>15</v>
      </c>
      <c r="C273" s="57" t="s">
        <v>32</v>
      </c>
      <c r="D273" s="57" t="s">
        <v>18</v>
      </c>
      <c r="E273" s="57" t="s">
        <v>26</v>
      </c>
      <c r="F273" s="58">
        <v>28178.21</v>
      </c>
      <c r="G273" s="57">
        <v>604557</v>
      </c>
      <c r="H273" s="57">
        <v>2445</v>
      </c>
      <c r="I273" s="57">
        <v>1128</v>
      </c>
      <c r="J273" s="58">
        <v>35504.544600000001</v>
      </c>
      <c r="K273" s="55">
        <f t="shared" si="16"/>
        <v>0.26000000000000006</v>
      </c>
      <c r="L273" s="56">
        <f t="shared" si="17"/>
        <v>0.26000000000000006</v>
      </c>
      <c r="M273" s="56" t="str">
        <f t="shared" si="18"/>
        <v/>
      </c>
      <c r="N273" s="56" t="str">
        <f t="shared" si="19"/>
        <v>OK</v>
      </c>
      <c r="O273" s="2"/>
      <c r="P273" s="27"/>
      <c r="Q273" s="2"/>
      <c r="R273" s="2"/>
    </row>
    <row r="274" spans="1:18" x14ac:dyDescent="0.35">
      <c r="A274" s="53">
        <v>333</v>
      </c>
      <c r="B274" s="53" t="s">
        <v>12</v>
      </c>
      <c r="C274" s="53" t="s">
        <v>32</v>
      </c>
      <c r="D274" s="53" t="s">
        <v>22</v>
      </c>
      <c r="E274" s="53" t="s">
        <v>25</v>
      </c>
      <c r="F274" s="54">
        <v>38219.54</v>
      </c>
      <c r="G274" s="53">
        <v>382047</v>
      </c>
      <c r="H274" s="53">
        <v>8697</v>
      </c>
      <c r="I274" s="53">
        <v>280</v>
      </c>
      <c r="J274" s="54">
        <v>48538.815799999997</v>
      </c>
      <c r="K274" s="55">
        <f t="shared" si="16"/>
        <v>0.26999999999999991</v>
      </c>
      <c r="L274" s="56">
        <f t="shared" si="17"/>
        <v>0.26999999999999991</v>
      </c>
      <c r="M274" s="56" t="str">
        <f t="shared" si="18"/>
        <v/>
      </c>
      <c r="N274" s="56" t="str">
        <f t="shared" si="19"/>
        <v>OK</v>
      </c>
      <c r="O274" s="2"/>
      <c r="P274" s="27"/>
      <c r="Q274" s="2"/>
      <c r="R274" s="2"/>
    </row>
    <row r="275" spans="1:18" x14ac:dyDescent="0.35">
      <c r="A275" s="57">
        <v>760</v>
      </c>
      <c r="B275" s="57" t="s">
        <v>8</v>
      </c>
      <c r="C275" s="57" t="s">
        <v>31</v>
      </c>
      <c r="D275" s="57" t="s">
        <v>21</v>
      </c>
      <c r="E275" s="57" t="s">
        <v>27</v>
      </c>
      <c r="F275" s="58">
        <v>8464.15</v>
      </c>
      <c r="G275" s="57">
        <v>523942</v>
      </c>
      <c r="H275" s="57">
        <v>5795</v>
      </c>
      <c r="I275" s="57">
        <v>1853</v>
      </c>
      <c r="J275" s="58">
        <v>10749.470499999999</v>
      </c>
      <c r="K275" s="55">
        <f t="shared" si="16"/>
        <v>0.26999999999999996</v>
      </c>
      <c r="L275" s="56" t="str">
        <f t="shared" si="17"/>
        <v/>
      </c>
      <c r="M275" s="56">
        <f t="shared" si="18"/>
        <v>0.26999999999999996</v>
      </c>
      <c r="N275" s="56" t="str">
        <f t="shared" si="19"/>
        <v>OK</v>
      </c>
      <c r="O275" s="2"/>
      <c r="P275" s="27"/>
      <c r="Q275" s="2"/>
      <c r="R275" s="2"/>
    </row>
    <row r="276" spans="1:18" x14ac:dyDescent="0.35">
      <c r="A276" s="53">
        <v>71</v>
      </c>
      <c r="B276" s="53" t="s">
        <v>14</v>
      </c>
      <c r="C276" s="53" t="s">
        <v>32</v>
      </c>
      <c r="D276" s="53" t="s">
        <v>18</v>
      </c>
      <c r="E276" s="53" t="s">
        <v>28</v>
      </c>
      <c r="F276" s="54">
        <v>5594.09</v>
      </c>
      <c r="G276" s="53">
        <v>485828</v>
      </c>
      <c r="H276" s="53">
        <v>15723</v>
      </c>
      <c r="I276" s="53">
        <v>197</v>
      </c>
      <c r="J276" s="54">
        <v>7104.4943000000003</v>
      </c>
      <c r="K276" s="55">
        <f t="shared" si="16"/>
        <v>0.27</v>
      </c>
      <c r="L276" s="56">
        <f t="shared" si="17"/>
        <v>0.27</v>
      </c>
      <c r="M276" s="56" t="str">
        <f t="shared" si="18"/>
        <v/>
      </c>
      <c r="N276" s="56" t="str">
        <f t="shared" si="19"/>
        <v>OK</v>
      </c>
      <c r="O276" s="2"/>
      <c r="P276" s="27"/>
      <c r="Q276" s="2"/>
      <c r="R276" s="2"/>
    </row>
    <row r="277" spans="1:18" x14ac:dyDescent="0.35">
      <c r="A277" s="57">
        <v>914</v>
      </c>
      <c r="B277" s="57" t="s">
        <v>14</v>
      </c>
      <c r="C277" s="57" t="s">
        <v>32</v>
      </c>
      <c r="D277" s="57" t="s">
        <v>22</v>
      </c>
      <c r="E277" s="57" t="s">
        <v>24</v>
      </c>
      <c r="F277" s="58">
        <v>11147.65</v>
      </c>
      <c r="G277" s="57">
        <v>802908</v>
      </c>
      <c r="H277" s="57">
        <v>8845</v>
      </c>
      <c r="I277" s="57">
        <v>908</v>
      </c>
      <c r="J277" s="58">
        <v>14157.5155</v>
      </c>
      <c r="K277" s="55">
        <f t="shared" si="16"/>
        <v>0.27</v>
      </c>
      <c r="L277" s="56">
        <f t="shared" si="17"/>
        <v>0.27</v>
      </c>
      <c r="M277" s="56" t="str">
        <f t="shared" si="18"/>
        <v/>
      </c>
      <c r="N277" s="56" t="str">
        <f t="shared" si="19"/>
        <v>OK</v>
      </c>
      <c r="O277" s="2"/>
      <c r="P277" s="27"/>
      <c r="Q277" s="2"/>
      <c r="R277" s="2"/>
    </row>
    <row r="278" spans="1:18" x14ac:dyDescent="0.35">
      <c r="A278" s="53">
        <v>537</v>
      </c>
      <c r="B278" s="53" t="s">
        <v>13</v>
      </c>
      <c r="C278" s="53" t="s">
        <v>32</v>
      </c>
      <c r="D278" s="53" t="s">
        <v>22</v>
      </c>
      <c r="E278" s="53" t="s">
        <v>26</v>
      </c>
      <c r="F278" s="54">
        <v>32676.05</v>
      </c>
      <c r="G278" s="53">
        <v>427567</v>
      </c>
      <c r="H278" s="53">
        <v>2873</v>
      </c>
      <c r="I278" s="53">
        <v>547</v>
      </c>
      <c r="J278" s="54">
        <v>41498.583500000001</v>
      </c>
      <c r="K278" s="55">
        <f t="shared" si="16"/>
        <v>0.27000000000000007</v>
      </c>
      <c r="L278" s="56">
        <f t="shared" si="17"/>
        <v>0.27000000000000007</v>
      </c>
      <c r="M278" s="56" t="str">
        <f t="shared" si="18"/>
        <v/>
      </c>
      <c r="N278" s="56" t="str">
        <f t="shared" si="19"/>
        <v>OK</v>
      </c>
      <c r="O278" s="2"/>
      <c r="P278" s="27"/>
      <c r="Q278" s="2"/>
      <c r="R278" s="2"/>
    </row>
    <row r="279" spans="1:18" x14ac:dyDescent="0.35">
      <c r="A279" s="57">
        <v>36</v>
      </c>
      <c r="B279" s="57" t="s">
        <v>15</v>
      </c>
      <c r="C279" s="57" t="s">
        <v>32</v>
      </c>
      <c r="D279" s="57" t="s">
        <v>21</v>
      </c>
      <c r="E279" s="57" t="s">
        <v>26</v>
      </c>
      <c r="F279" s="58">
        <v>46487.56</v>
      </c>
      <c r="G279" s="57">
        <v>771282</v>
      </c>
      <c r="H279" s="57">
        <v>16240</v>
      </c>
      <c r="I279" s="57">
        <v>67</v>
      </c>
      <c r="J279" s="58">
        <v>59039.201200000003</v>
      </c>
      <c r="K279" s="55">
        <f t="shared" si="16"/>
        <v>0.27000000000000013</v>
      </c>
      <c r="L279" s="56">
        <f t="shared" si="17"/>
        <v>0.27000000000000013</v>
      </c>
      <c r="M279" s="56" t="str">
        <f t="shared" si="18"/>
        <v/>
      </c>
      <c r="N279" s="56" t="str">
        <f t="shared" si="19"/>
        <v>OK</v>
      </c>
      <c r="O279" s="2"/>
      <c r="P279" s="27"/>
      <c r="Q279" s="2"/>
      <c r="R279" s="2"/>
    </row>
    <row r="280" spans="1:18" x14ac:dyDescent="0.35">
      <c r="A280" s="53">
        <v>87</v>
      </c>
      <c r="B280" s="53" t="s">
        <v>10</v>
      </c>
      <c r="C280" s="53" t="s">
        <v>31</v>
      </c>
      <c r="D280" s="53" t="s">
        <v>17</v>
      </c>
      <c r="E280" s="53" t="s">
        <v>29</v>
      </c>
      <c r="F280" s="54">
        <v>31133.93</v>
      </c>
      <c r="G280" s="53">
        <v>489336</v>
      </c>
      <c r="H280" s="53">
        <v>19312</v>
      </c>
      <c r="I280" s="53">
        <v>1059</v>
      </c>
      <c r="J280" s="54">
        <v>39851.430399999997</v>
      </c>
      <c r="K280" s="55">
        <f t="shared" si="16"/>
        <v>0.27999999999999992</v>
      </c>
      <c r="L280" s="56" t="str">
        <f t="shared" si="17"/>
        <v/>
      </c>
      <c r="M280" s="56">
        <f t="shared" si="18"/>
        <v>0.27999999999999992</v>
      </c>
      <c r="N280" s="56" t="str">
        <f t="shared" si="19"/>
        <v>OK</v>
      </c>
      <c r="O280" s="2"/>
      <c r="P280" s="27"/>
      <c r="Q280" s="2"/>
      <c r="R280" s="2"/>
    </row>
    <row r="281" spans="1:18" x14ac:dyDescent="0.35">
      <c r="A281" s="57">
        <v>124</v>
      </c>
      <c r="B281" s="57" t="s">
        <v>8</v>
      </c>
      <c r="C281" s="57" t="s">
        <v>31</v>
      </c>
      <c r="D281" s="57" t="s">
        <v>20</v>
      </c>
      <c r="E281" s="57" t="s">
        <v>27</v>
      </c>
      <c r="F281" s="58">
        <v>24843.29</v>
      </c>
      <c r="G281" s="57">
        <v>978078</v>
      </c>
      <c r="H281" s="57">
        <v>750</v>
      </c>
      <c r="I281" s="57">
        <v>61</v>
      </c>
      <c r="J281" s="58">
        <v>31799.411199999999</v>
      </c>
      <c r="K281" s="55">
        <f t="shared" si="16"/>
        <v>0.27999999999999992</v>
      </c>
      <c r="L281" s="56" t="str">
        <f t="shared" si="17"/>
        <v/>
      </c>
      <c r="M281" s="56">
        <f t="shared" si="18"/>
        <v>0.27999999999999992</v>
      </c>
      <c r="N281" s="56" t="str">
        <f t="shared" si="19"/>
        <v>OK</v>
      </c>
      <c r="O281" s="2"/>
      <c r="P281" s="27"/>
      <c r="Q281" s="2"/>
      <c r="R281" s="2"/>
    </row>
    <row r="282" spans="1:18" x14ac:dyDescent="0.35">
      <c r="A282" s="57">
        <v>372</v>
      </c>
      <c r="B282" s="57" t="s">
        <v>13</v>
      </c>
      <c r="C282" s="57" t="s">
        <v>32</v>
      </c>
      <c r="D282" s="57" t="s">
        <v>17</v>
      </c>
      <c r="E282" s="57" t="s">
        <v>25</v>
      </c>
      <c r="F282" s="58">
        <v>4356.76</v>
      </c>
      <c r="G282" s="57">
        <v>943703</v>
      </c>
      <c r="H282" s="57">
        <v>8619</v>
      </c>
      <c r="I282" s="57">
        <v>1600</v>
      </c>
      <c r="J282" s="58">
        <v>5576.6527999999998</v>
      </c>
      <c r="K282" s="55">
        <f t="shared" si="16"/>
        <v>0.27999999999999992</v>
      </c>
      <c r="L282" s="56">
        <f t="shared" si="17"/>
        <v>0.27999999999999992</v>
      </c>
      <c r="M282" s="56" t="str">
        <f t="shared" si="18"/>
        <v/>
      </c>
      <c r="N282" s="56" t="str">
        <f t="shared" si="19"/>
        <v>OK</v>
      </c>
      <c r="O282" s="2"/>
      <c r="P282" s="27"/>
      <c r="Q282" s="2"/>
      <c r="R282" s="2"/>
    </row>
    <row r="283" spans="1:18" x14ac:dyDescent="0.35">
      <c r="A283" s="53">
        <v>437</v>
      </c>
      <c r="B283" s="53" t="s">
        <v>13</v>
      </c>
      <c r="C283" s="53" t="s">
        <v>32</v>
      </c>
      <c r="D283" s="53" t="s">
        <v>22</v>
      </c>
      <c r="E283" s="53" t="s">
        <v>25</v>
      </c>
      <c r="F283" s="54">
        <v>13363.06</v>
      </c>
      <c r="G283" s="53">
        <v>859307</v>
      </c>
      <c r="H283" s="53">
        <v>291</v>
      </c>
      <c r="I283" s="53">
        <v>343</v>
      </c>
      <c r="J283" s="54">
        <v>17104.716799999998</v>
      </c>
      <c r="K283" s="55">
        <f t="shared" si="16"/>
        <v>0.27999999999999992</v>
      </c>
      <c r="L283" s="56">
        <f t="shared" si="17"/>
        <v>0.27999999999999992</v>
      </c>
      <c r="M283" s="56" t="str">
        <f t="shared" si="18"/>
        <v/>
      </c>
      <c r="N283" s="56" t="str">
        <f t="shared" si="19"/>
        <v>ERROR: Conversions &gt; Clicks</v>
      </c>
      <c r="O283" s="2"/>
      <c r="P283" s="27"/>
      <c r="Q283" s="2"/>
      <c r="R283" s="2"/>
    </row>
    <row r="284" spans="1:18" x14ac:dyDescent="0.35">
      <c r="A284" s="57">
        <v>968</v>
      </c>
      <c r="B284" s="57" t="s">
        <v>10</v>
      </c>
      <c r="C284" s="57" t="s">
        <v>31</v>
      </c>
      <c r="D284" s="57" t="s">
        <v>19</v>
      </c>
      <c r="E284" s="57" t="s">
        <v>28</v>
      </c>
      <c r="F284" s="58">
        <v>43334.12</v>
      </c>
      <c r="G284" s="57">
        <v>986351</v>
      </c>
      <c r="H284" s="57">
        <v>5681</v>
      </c>
      <c r="I284" s="57">
        <v>174</v>
      </c>
      <c r="J284" s="58">
        <v>55467.673600000002</v>
      </c>
      <c r="K284" s="55">
        <f t="shared" si="16"/>
        <v>0.27999999999999997</v>
      </c>
      <c r="L284" s="56" t="str">
        <f t="shared" si="17"/>
        <v/>
      </c>
      <c r="M284" s="56">
        <f t="shared" si="18"/>
        <v>0.27999999999999997</v>
      </c>
      <c r="N284" s="56" t="str">
        <f t="shared" si="19"/>
        <v>OK</v>
      </c>
      <c r="O284" s="2"/>
      <c r="P284" s="27"/>
      <c r="Q284" s="2"/>
      <c r="R284" s="2"/>
    </row>
    <row r="285" spans="1:18" x14ac:dyDescent="0.35">
      <c r="A285" s="57">
        <v>52</v>
      </c>
      <c r="B285" s="57" t="s">
        <v>10</v>
      </c>
      <c r="C285" s="57" t="s">
        <v>31</v>
      </c>
      <c r="D285" s="57" t="s">
        <v>21</v>
      </c>
      <c r="E285" s="57" t="s">
        <v>24</v>
      </c>
      <c r="F285" s="58">
        <v>3639.05</v>
      </c>
      <c r="G285" s="57">
        <v>620032</v>
      </c>
      <c r="H285" s="57">
        <v>6818</v>
      </c>
      <c r="I285" s="57">
        <v>1708</v>
      </c>
      <c r="J285" s="58">
        <v>4657.9840000000004</v>
      </c>
      <c r="K285" s="55">
        <f t="shared" si="16"/>
        <v>0.28000000000000003</v>
      </c>
      <c r="L285" s="56" t="str">
        <f t="shared" si="17"/>
        <v/>
      </c>
      <c r="M285" s="56">
        <f t="shared" si="18"/>
        <v>0.28000000000000003</v>
      </c>
      <c r="N285" s="56" t="str">
        <f t="shared" si="19"/>
        <v>OK</v>
      </c>
      <c r="O285" s="2"/>
      <c r="P285" s="27"/>
      <c r="Q285" s="2"/>
      <c r="R285" s="2"/>
    </row>
    <row r="286" spans="1:18" x14ac:dyDescent="0.35">
      <c r="A286" s="53">
        <v>235</v>
      </c>
      <c r="B286" s="53" t="s">
        <v>12</v>
      </c>
      <c r="C286" s="53" t="s">
        <v>32</v>
      </c>
      <c r="D286" s="53" t="s">
        <v>20</v>
      </c>
      <c r="E286" s="53" t="s">
        <v>25</v>
      </c>
      <c r="F286" s="54">
        <v>20794.919999999998</v>
      </c>
      <c r="G286" s="53">
        <v>958385</v>
      </c>
      <c r="H286" s="53">
        <v>11903</v>
      </c>
      <c r="I286" s="53">
        <v>653</v>
      </c>
      <c r="J286" s="54">
        <v>26617.497599999999</v>
      </c>
      <c r="K286" s="55">
        <f t="shared" si="16"/>
        <v>0.28000000000000003</v>
      </c>
      <c r="L286" s="56">
        <f t="shared" si="17"/>
        <v>0.28000000000000003</v>
      </c>
      <c r="M286" s="56" t="str">
        <f t="shared" si="18"/>
        <v/>
      </c>
      <c r="N286" s="56" t="str">
        <f t="shared" si="19"/>
        <v>OK</v>
      </c>
      <c r="O286" s="2"/>
      <c r="P286" s="27"/>
      <c r="Q286" s="2"/>
      <c r="R286" s="2"/>
    </row>
    <row r="287" spans="1:18" x14ac:dyDescent="0.35">
      <c r="A287" s="53">
        <v>401</v>
      </c>
      <c r="B287" s="53" t="s">
        <v>13</v>
      </c>
      <c r="C287" s="53" t="s">
        <v>32</v>
      </c>
      <c r="D287" s="53" t="s">
        <v>17</v>
      </c>
      <c r="E287" s="53" t="s">
        <v>29</v>
      </c>
      <c r="F287" s="54">
        <v>35266.449999999997</v>
      </c>
      <c r="G287" s="53">
        <v>822481</v>
      </c>
      <c r="H287" s="53">
        <v>19245</v>
      </c>
      <c r="I287" s="53">
        <v>934</v>
      </c>
      <c r="J287" s="54">
        <v>45141.055999999997</v>
      </c>
      <c r="K287" s="55">
        <f t="shared" si="16"/>
        <v>0.28000000000000003</v>
      </c>
      <c r="L287" s="56">
        <f t="shared" si="17"/>
        <v>0.28000000000000003</v>
      </c>
      <c r="M287" s="56" t="str">
        <f t="shared" si="18"/>
        <v/>
      </c>
      <c r="N287" s="56" t="str">
        <f t="shared" si="19"/>
        <v>OK</v>
      </c>
      <c r="O287" s="2"/>
      <c r="P287" s="27"/>
      <c r="Q287" s="2"/>
      <c r="R287" s="2"/>
    </row>
    <row r="288" spans="1:18" x14ac:dyDescent="0.35">
      <c r="A288" s="53">
        <v>557</v>
      </c>
      <c r="B288" s="53" t="s">
        <v>13</v>
      </c>
      <c r="C288" s="53" t="s">
        <v>32</v>
      </c>
      <c r="D288" s="53" t="s">
        <v>18</v>
      </c>
      <c r="E288" s="53" t="s">
        <v>29</v>
      </c>
      <c r="F288" s="54">
        <v>40593.11</v>
      </c>
      <c r="G288" s="53">
        <v>100009</v>
      </c>
      <c r="H288" s="53">
        <v>14465</v>
      </c>
      <c r="I288" s="53">
        <v>1765</v>
      </c>
      <c r="J288" s="54">
        <v>51959.180800000002</v>
      </c>
      <c r="K288" s="55">
        <f t="shared" si="16"/>
        <v>0.28000000000000003</v>
      </c>
      <c r="L288" s="56">
        <f t="shared" si="17"/>
        <v>0.28000000000000003</v>
      </c>
      <c r="M288" s="56" t="str">
        <f t="shared" si="18"/>
        <v/>
      </c>
      <c r="N288" s="56" t="str">
        <f t="shared" si="19"/>
        <v>OK</v>
      </c>
      <c r="O288" s="2"/>
      <c r="P288" s="27"/>
      <c r="Q288" s="2"/>
      <c r="R288" s="2"/>
    </row>
    <row r="289" spans="1:18" x14ac:dyDescent="0.35">
      <c r="A289" s="57">
        <v>978</v>
      </c>
      <c r="B289" s="57" t="s">
        <v>13</v>
      </c>
      <c r="C289" s="57" t="s">
        <v>32</v>
      </c>
      <c r="D289" s="57" t="s">
        <v>21</v>
      </c>
      <c r="E289" s="57" t="s">
        <v>27</v>
      </c>
      <c r="F289" s="58">
        <v>32190.39</v>
      </c>
      <c r="G289" s="57">
        <v>635210</v>
      </c>
      <c r="H289" s="57">
        <v>6738</v>
      </c>
      <c r="I289" s="57">
        <v>381</v>
      </c>
      <c r="J289" s="58">
        <v>41203.699200000003</v>
      </c>
      <c r="K289" s="55">
        <f t="shared" si="16"/>
        <v>0.28000000000000008</v>
      </c>
      <c r="L289" s="56">
        <f t="shared" si="17"/>
        <v>0.28000000000000008</v>
      </c>
      <c r="M289" s="56" t="str">
        <f t="shared" si="18"/>
        <v/>
      </c>
      <c r="N289" s="56" t="str">
        <f t="shared" si="19"/>
        <v>OK</v>
      </c>
      <c r="O289" s="2"/>
      <c r="P289" s="27"/>
      <c r="Q289" s="2"/>
      <c r="R289" s="2"/>
    </row>
    <row r="290" spans="1:18" x14ac:dyDescent="0.35">
      <c r="A290" s="53">
        <v>339</v>
      </c>
      <c r="B290" s="53" t="s">
        <v>12</v>
      </c>
      <c r="C290" s="53" t="s">
        <v>32</v>
      </c>
      <c r="D290" s="53" t="s">
        <v>21</v>
      </c>
      <c r="E290" s="53" t="s">
        <v>24</v>
      </c>
      <c r="F290" s="54">
        <v>41143.5</v>
      </c>
      <c r="G290" s="53">
        <v>247501</v>
      </c>
      <c r="H290" s="53">
        <v>14179</v>
      </c>
      <c r="I290" s="53">
        <v>1983</v>
      </c>
      <c r="J290" s="54">
        <v>53075.114999999998</v>
      </c>
      <c r="K290" s="55">
        <f t="shared" si="16"/>
        <v>0.28999999999999992</v>
      </c>
      <c r="L290" s="56">
        <f t="shared" si="17"/>
        <v>0.28999999999999992</v>
      </c>
      <c r="M290" s="56" t="str">
        <f t="shared" si="18"/>
        <v/>
      </c>
      <c r="N290" s="56" t="str">
        <f t="shared" si="19"/>
        <v>OK</v>
      </c>
      <c r="O290" s="2"/>
      <c r="P290" s="27"/>
      <c r="Q290" s="2"/>
      <c r="R290" s="2"/>
    </row>
    <row r="291" spans="1:18" x14ac:dyDescent="0.35">
      <c r="A291" s="53">
        <v>387</v>
      </c>
      <c r="B291" s="53" t="s">
        <v>9</v>
      </c>
      <c r="C291" s="53" t="s">
        <v>31</v>
      </c>
      <c r="D291" s="53" t="s">
        <v>21</v>
      </c>
      <c r="E291" s="53" t="s">
        <v>27</v>
      </c>
      <c r="F291" s="54">
        <v>12109.79</v>
      </c>
      <c r="G291" s="53">
        <v>151880</v>
      </c>
      <c r="H291" s="53">
        <v>970</v>
      </c>
      <c r="I291" s="53">
        <v>1695</v>
      </c>
      <c r="J291" s="54">
        <v>15621.6291</v>
      </c>
      <c r="K291" s="55">
        <f t="shared" si="16"/>
        <v>0.28999999999999992</v>
      </c>
      <c r="L291" s="56" t="str">
        <f t="shared" si="17"/>
        <v/>
      </c>
      <c r="M291" s="56">
        <f t="shared" si="18"/>
        <v>0.28999999999999992</v>
      </c>
      <c r="N291" s="56" t="str">
        <f t="shared" si="19"/>
        <v>ERROR: Conversions &gt; Clicks</v>
      </c>
      <c r="O291" s="2"/>
      <c r="P291" s="27"/>
      <c r="Q291" s="2"/>
      <c r="R291" s="2"/>
    </row>
    <row r="292" spans="1:18" x14ac:dyDescent="0.35">
      <c r="A292" s="57">
        <v>624</v>
      </c>
      <c r="B292" s="57" t="s">
        <v>14</v>
      </c>
      <c r="C292" s="57" t="s">
        <v>32</v>
      </c>
      <c r="D292" s="57" t="s">
        <v>18</v>
      </c>
      <c r="E292" s="57" t="s">
        <v>28</v>
      </c>
      <c r="F292" s="58">
        <v>30736.99</v>
      </c>
      <c r="G292" s="57">
        <v>18024</v>
      </c>
      <c r="H292" s="57">
        <v>7666</v>
      </c>
      <c r="I292" s="57">
        <v>1499</v>
      </c>
      <c r="J292" s="58">
        <v>39650.717100000002</v>
      </c>
      <c r="K292" s="55">
        <f t="shared" si="16"/>
        <v>0.28999999999999998</v>
      </c>
      <c r="L292" s="56">
        <f t="shared" si="17"/>
        <v>0.28999999999999998</v>
      </c>
      <c r="M292" s="56" t="str">
        <f t="shared" si="18"/>
        <v/>
      </c>
      <c r="N292" s="56" t="str">
        <f t="shared" si="19"/>
        <v>OK</v>
      </c>
      <c r="O292" s="2"/>
      <c r="P292" s="27"/>
      <c r="Q292" s="2"/>
      <c r="R292" s="2"/>
    </row>
    <row r="293" spans="1:18" x14ac:dyDescent="0.35">
      <c r="A293" s="53">
        <v>441</v>
      </c>
      <c r="B293" s="53" t="s">
        <v>11</v>
      </c>
      <c r="C293" s="53" t="s">
        <v>32</v>
      </c>
      <c r="D293" s="53" t="s">
        <v>20</v>
      </c>
      <c r="E293" s="53" t="s">
        <v>28</v>
      </c>
      <c r="F293" s="54">
        <v>26736.75</v>
      </c>
      <c r="G293" s="53">
        <v>516961</v>
      </c>
      <c r="H293" s="53">
        <v>13782</v>
      </c>
      <c r="I293" s="53">
        <v>24</v>
      </c>
      <c r="J293" s="54">
        <v>34490.407500000001</v>
      </c>
      <c r="K293" s="55">
        <f t="shared" si="16"/>
        <v>0.29000000000000004</v>
      </c>
      <c r="L293" s="56">
        <f t="shared" si="17"/>
        <v>0.29000000000000004</v>
      </c>
      <c r="M293" s="56" t="str">
        <f t="shared" si="18"/>
        <v/>
      </c>
      <c r="N293" s="56" t="str">
        <f t="shared" si="19"/>
        <v>OK</v>
      </c>
      <c r="O293" s="2"/>
      <c r="P293" s="27"/>
      <c r="Q293" s="2"/>
      <c r="R293" s="2"/>
    </row>
    <row r="294" spans="1:18" x14ac:dyDescent="0.35">
      <c r="A294" s="53">
        <v>545</v>
      </c>
      <c r="B294" s="53" t="s">
        <v>11</v>
      </c>
      <c r="C294" s="53" t="s">
        <v>32</v>
      </c>
      <c r="D294" s="53" t="s">
        <v>17</v>
      </c>
      <c r="E294" s="53" t="s">
        <v>27</v>
      </c>
      <c r="F294" s="54">
        <v>32255.98</v>
      </c>
      <c r="G294" s="53">
        <v>423090</v>
      </c>
      <c r="H294" s="53">
        <v>4398</v>
      </c>
      <c r="I294" s="53">
        <v>714</v>
      </c>
      <c r="J294" s="54">
        <v>41610.214200000002</v>
      </c>
      <c r="K294" s="55">
        <f t="shared" si="16"/>
        <v>0.29000000000000009</v>
      </c>
      <c r="L294" s="56">
        <f t="shared" si="17"/>
        <v>0.29000000000000009</v>
      </c>
      <c r="M294" s="56" t="str">
        <f t="shared" si="18"/>
        <v/>
      </c>
      <c r="N294" s="56" t="str">
        <f t="shared" si="19"/>
        <v>OK</v>
      </c>
      <c r="O294" s="2"/>
      <c r="P294" s="27"/>
      <c r="Q294" s="2"/>
      <c r="R294" s="2"/>
    </row>
    <row r="295" spans="1:18" x14ac:dyDescent="0.35">
      <c r="A295" s="57">
        <v>574</v>
      </c>
      <c r="B295" s="57" t="s">
        <v>14</v>
      </c>
      <c r="C295" s="57" t="s">
        <v>32</v>
      </c>
      <c r="D295" s="57" t="s">
        <v>20</v>
      </c>
      <c r="E295" s="57" t="s">
        <v>24</v>
      </c>
      <c r="F295" s="58">
        <v>5844.81</v>
      </c>
      <c r="G295" s="57">
        <v>859375</v>
      </c>
      <c r="H295" s="57">
        <v>1687</v>
      </c>
      <c r="I295" s="57">
        <v>1516</v>
      </c>
      <c r="J295" s="58">
        <v>7598.2529999999997</v>
      </c>
      <c r="K295" s="55">
        <f t="shared" si="16"/>
        <v>0.29999999999999988</v>
      </c>
      <c r="L295" s="56">
        <f t="shared" si="17"/>
        <v>0.29999999999999988</v>
      </c>
      <c r="M295" s="56" t="str">
        <f t="shared" si="18"/>
        <v/>
      </c>
      <c r="N295" s="56" t="str">
        <f t="shared" si="19"/>
        <v>OK</v>
      </c>
      <c r="O295" s="2"/>
      <c r="P295" s="27"/>
      <c r="Q295" s="2"/>
      <c r="R295" s="2"/>
    </row>
    <row r="296" spans="1:18" x14ac:dyDescent="0.35">
      <c r="A296" s="57">
        <v>828</v>
      </c>
      <c r="B296" s="57" t="s">
        <v>14</v>
      </c>
      <c r="C296" s="57" t="s">
        <v>32</v>
      </c>
      <c r="D296" s="57" t="s">
        <v>22</v>
      </c>
      <c r="E296" s="57" t="s">
        <v>24</v>
      </c>
      <c r="F296" s="58">
        <v>7350.43</v>
      </c>
      <c r="G296" s="57">
        <v>80463</v>
      </c>
      <c r="H296" s="57">
        <v>6464</v>
      </c>
      <c r="I296" s="57">
        <v>674</v>
      </c>
      <c r="J296" s="58">
        <v>9555.5589999999993</v>
      </c>
      <c r="K296" s="55">
        <f t="shared" si="16"/>
        <v>0.29999999999999988</v>
      </c>
      <c r="L296" s="56">
        <f t="shared" si="17"/>
        <v>0.29999999999999988</v>
      </c>
      <c r="M296" s="56" t="str">
        <f t="shared" si="18"/>
        <v/>
      </c>
      <c r="N296" s="56" t="str">
        <f t="shared" si="19"/>
        <v>OK</v>
      </c>
      <c r="O296" s="2"/>
      <c r="P296" s="27"/>
      <c r="Q296" s="2"/>
      <c r="R296" s="2"/>
    </row>
    <row r="297" spans="1:18" x14ac:dyDescent="0.35">
      <c r="A297" s="57">
        <v>542</v>
      </c>
      <c r="B297" s="57" t="s">
        <v>14</v>
      </c>
      <c r="C297" s="57" t="s">
        <v>32</v>
      </c>
      <c r="D297" s="57" t="s">
        <v>22</v>
      </c>
      <c r="E297" s="57" t="s">
        <v>24</v>
      </c>
      <c r="F297" s="58">
        <v>6671.14</v>
      </c>
      <c r="G297" s="57">
        <v>92289</v>
      </c>
      <c r="H297" s="57">
        <v>7447</v>
      </c>
      <c r="I297" s="57">
        <v>1461</v>
      </c>
      <c r="J297" s="58">
        <v>8672.482</v>
      </c>
      <c r="K297" s="55">
        <f t="shared" si="16"/>
        <v>0.29999999999999993</v>
      </c>
      <c r="L297" s="56">
        <f t="shared" si="17"/>
        <v>0.29999999999999993</v>
      </c>
      <c r="M297" s="56" t="str">
        <f t="shared" si="18"/>
        <v/>
      </c>
      <c r="N297" s="56" t="str">
        <f t="shared" si="19"/>
        <v>OK</v>
      </c>
      <c r="O297" s="2"/>
      <c r="P297" s="27"/>
      <c r="Q297" s="2"/>
      <c r="R297" s="2"/>
    </row>
    <row r="298" spans="1:18" x14ac:dyDescent="0.35">
      <c r="A298" s="57">
        <v>688</v>
      </c>
      <c r="B298" s="57" t="s">
        <v>15</v>
      </c>
      <c r="C298" s="57" t="s">
        <v>32</v>
      </c>
      <c r="D298" s="57" t="s">
        <v>17</v>
      </c>
      <c r="E298" s="57" t="s">
        <v>29</v>
      </c>
      <c r="F298" s="58">
        <v>44828.18</v>
      </c>
      <c r="G298" s="57">
        <v>683812</v>
      </c>
      <c r="H298" s="57">
        <v>19559</v>
      </c>
      <c r="I298" s="57">
        <v>1782</v>
      </c>
      <c r="J298" s="58">
        <v>58276.633999999998</v>
      </c>
      <c r="K298" s="55">
        <f t="shared" si="16"/>
        <v>0.29999999999999993</v>
      </c>
      <c r="L298" s="56">
        <f t="shared" si="17"/>
        <v>0.29999999999999993</v>
      </c>
      <c r="M298" s="56" t="str">
        <f t="shared" si="18"/>
        <v/>
      </c>
      <c r="N298" s="56" t="str">
        <f t="shared" si="19"/>
        <v>OK</v>
      </c>
      <c r="O298" s="2"/>
      <c r="P298" s="27"/>
      <c r="Q298" s="2"/>
      <c r="R298" s="2"/>
    </row>
    <row r="299" spans="1:18" x14ac:dyDescent="0.35">
      <c r="A299" s="57">
        <v>854</v>
      </c>
      <c r="B299" s="57" t="s">
        <v>9</v>
      </c>
      <c r="C299" s="57" t="s">
        <v>31</v>
      </c>
      <c r="D299" s="57" t="s">
        <v>18</v>
      </c>
      <c r="E299" s="57" t="s">
        <v>24</v>
      </c>
      <c r="F299" s="58">
        <v>37947.129999999997</v>
      </c>
      <c r="G299" s="57">
        <v>697490</v>
      </c>
      <c r="H299" s="57">
        <v>10817</v>
      </c>
      <c r="I299" s="57">
        <v>393</v>
      </c>
      <c r="J299" s="58">
        <v>49331.269</v>
      </c>
      <c r="K299" s="55">
        <f t="shared" si="16"/>
        <v>0.3000000000000001</v>
      </c>
      <c r="L299" s="56" t="str">
        <f t="shared" si="17"/>
        <v/>
      </c>
      <c r="M299" s="56">
        <f t="shared" si="18"/>
        <v>0.3000000000000001</v>
      </c>
      <c r="N299" s="56" t="str">
        <f t="shared" si="19"/>
        <v>OK</v>
      </c>
      <c r="O299" s="2"/>
      <c r="P299" s="27"/>
      <c r="Q299" s="2"/>
      <c r="R299" s="2"/>
    </row>
    <row r="300" spans="1:18" x14ac:dyDescent="0.35">
      <c r="A300" s="53">
        <v>295</v>
      </c>
      <c r="B300" s="53" t="s">
        <v>14</v>
      </c>
      <c r="C300" s="53" t="s">
        <v>32</v>
      </c>
      <c r="D300" s="53" t="s">
        <v>19</v>
      </c>
      <c r="E300" s="53" t="s">
        <v>27</v>
      </c>
      <c r="F300" s="54">
        <v>9135.68</v>
      </c>
      <c r="G300" s="53">
        <v>102268</v>
      </c>
      <c r="H300" s="53">
        <v>15887</v>
      </c>
      <c r="I300" s="53">
        <v>392</v>
      </c>
      <c r="J300" s="54">
        <v>11967.7408</v>
      </c>
      <c r="K300" s="55">
        <f t="shared" si="16"/>
        <v>0.30999999999999989</v>
      </c>
      <c r="L300" s="56">
        <f t="shared" si="17"/>
        <v>0.30999999999999989</v>
      </c>
      <c r="M300" s="56" t="str">
        <f t="shared" si="18"/>
        <v/>
      </c>
      <c r="N300" s="56" t="str">
        <f t="shared" si="19"/>
        <v>OK</v>
      </c>
      <c r="O300" s="2"/>
      <c r="P300" s="27"/>
      <c r="Q300" s="2"/>
      <c r="R300" s="2"/>
    </row>
    <row r="301" spans="1:18" x14ac:dyDescent="0.35">
      <c r="A301" s="57">
        <v>996</v>
      </c>
      <c r="B301" s="57" t="s">
        <v>15</v>
      </c>
      <c r="C301" s="57" t="s">
        <v>32</v>
      </c>
      <c r="D301" s="57" t="s">
        <v>20</v>
      </c>
      <c r="E301" s="57" t="s">
        <v>27</v>
      </c>
      <c r="F301" s="58">
        <v>48385.58</v>
      </c>
      <c r="G301" s="57">
        <v>622084</v>
      </c>
      <c r="H301" s="57">
        <v>18721</v>
      </c>
      <c r="I301" s="57">
        <v>1083</v>
      </c>
      <c r="J301" s="58">
        <v>63385.109799999998</v>
      </c>
      <c r="K301" s="55">
        <f t="shared" si="16"/>
        <v>0.30999999999999994</v>
      </c>
      <c r="L301" s="56">
        <f t="shared" si="17"/>
        <v>0.30999999999999994</v>
      </c>
      <c r="M301" s="56" t="str">
        <f t="shared" si="18"/>
        <v/>
      </c>
      <c r="N301" s="56" t="str">
        <f t="shared" si="19"/>
        <v>OK</v>
      </c>
      <c r="O301" s="2"/>
      <c r="P301" s="27"/>
      <c r="Q301" s="2"/>
      <c r="R301" s="2"/>
    </row>
    <row r="302" spans="1:18" x14ac:dyDescent="0.35">
      <c r="A302" s="57">
        <v>262</v>
      </c>
      <c r="B302" s="57" t="s">
        <v>10</v>
      </c>
      <c r="C302" s="57" t="s">
        <v>31</v>
      </c>
      <c r="D302" s="57" t="s">
        <v>22</v>
      </c>
      <c r="E302" s="57" t="s">
        <v>24</v>
      </c>
      <c r="F302" s="58">
        <v>1879.34</v>
      </c>
      <c r="G302" s="57">
        <v>394193</v>
      </c>
      <c r="H302" s="57">
        <v>1547</v>
      </c>
      <c r="I302" s="57">
        <v>1446</v>
      </c>
      <c r="J302" s="58">
        <v>2461.9353999999998</v>
      </c>
      <c r="K302" s="55">
        <f t="shared" si="16"/>
        <v>0.31</v>
      </c>
      <c r="L302" s="56" t="str">
        <f t="shared" si="17"/>
        <v/>
      </c>
      <c r="M302" s="56">
        <f t="shared" si="18"/>
        <v>0.31</v>
      </c>
      <c r="N302" s="56" t="str">
        <f t="shared" si="19"/>
        <v>OK</v>
      </c>
      <c r="O302" s="2"/>
      <c r="P302" s="27"/>
      <c r="Q302" s="2"/>
      <c r="R302" s="2"/>
    </row>
    <row r="303" spans="1:18" x14ac:dyDescent="0.35">
      <c r="A303" s="53">
        <v>835</v>
      </c>
      <c r="B303" s="53" t="s">
        <v>11</v>
      </c>
      <c r="C303" s="53" t="s">
        <v>32</v>
      </c>
      <c r="D303" s="53" t="s">
        <v>17</v>
      </c>
      <c r="E303" s="53" t="s">
        <v>26</v>
      </c>
      <c r="F303" s="54">
        <v>6135.6</v>
      </c>
      <c r="G303" s="53">
        <v>343840</v>
      </c>
      <c r="H303" s="53">
        <v>15575</v>
      </c>
      <c r="I303" s="53">
        <v>1615</v>
      </c>
      <c r="J303" s="54">
        <v>8037.6360000000004</v>
      </c>
      <c r="K303" s="55">
        <f t="shared" si="16"/>
        <v>0.31</v>
      </c>
      <c r="L303" s="56">
        <f t="shared" si="17"/>
        <v>0.31</v>
      </c>
      <c r="M303" s="56" t="str">
        <f t="shared" si="18"/>
        <v/>
      </c>
      <c r="N303" s="56" t="str">
        <f t="shared" si="19"/>
        <v>OK</v>
      </c>
      <c r="O303" s="2"/>
      <c r="P303" s="27"/>
      <c r="Q303" s="2"/>
      <c r="R303" s="2"/>
    </row>
    <row r="304" spans="1:18" x14ac:dyDescent="0.35">
      <c r="A304" s="57">
        <v>840</v>
      </c>
      <c r="B304" s="57" t="s">
        <v>15</v>
      </c>
      <c r="C304" s="57" t="s">
        <v>32</v>
      </c>
      <c r="D304" s="57" t="s">
        <v>22</v>
      </c>
      <c r="E304" s="57" t="s">
        <v>26</v>
      </c>
      <c r="F304" s="58">
        <v>6437.9</v>
      </c>
      <c r="G304" s="57">
        <v>727104</v>
      </c>
      <c r="H304" s="57">
        <v>8679</v>
      </c>
      <c r="I304" s="57">
        <v>1620</v>
      </c>
      <c r="J304" s="58">
        <v>8433.6489999999994</v>
      </c>
      <c r="K304" s="55">
        <f t="shared" si="16"/>
        <v>0.31</v>
      </c>
      <c r="L304" s="56">
        <f t="shared" si="17"/>
        <v>0.31</v>
      </c>
      <c r="M304" s="56" t="str">
        <f t="shared" si="18"/>
        <v/>
      </c>
      <c r="N304" s="56" t="str">
        <f t="shared" si="19"/>
        <v>OK</v>
      </c>
      <c r="O304" s="2"/>
      <c r="P304" s="27"/>
      <c r="Q304" s="2"/>
      <c r="R304" s="2"/>
    </row>
    <row r="305" spans="1:18" x14ac:dyDescent="0.35">
      <c r="A305" s="53">
        <v>239</v>
      </c>
      <c r="B305" s="53" t="s">
        <v>9</v>
      </c>
      <c r="C305" s="53" t="s">
        <v>31</v>
      </c>
      <c r="D305" s="53" t="s">
        <v>20</v>
      </c>
      <c r="E305" s="53" t="s">
        <v>27</v>
      </c>
      <c r="F305" s="54">
        <v>31032.11</v>
      </c>
      <c r="G305" s="53">
        <v>215776</v>
      </c>
      <c r="H305" s="53">
        <v>4231</v>
      </c>
      <c r="I305" s="53">
        <v>1293</v>
      </c>
      <c r="J305" s="54">
        <v>40652.064100000003</v>
      </c>
      <c r="K305" s="55">
        <f t="shared" si="16"/>
        <v>0.31000000000000005</v>
      </c>
      <c r="L305" s="56" t="str">
        <f t="shared" si="17"/>
        <v/>
      </c>
      <c r="M305" s="56">
        <f t="shared" si="18"/>
        <v>0.31000000000000005</v>
      </c>
      <c r="N305" s="56" t="str">
        <f t="shared" si="19"/>
        <v>OK</v>
      </c>
      <c r="O305" s="2"/>
      <c r="P305" s="27"/>
      <c r="Q305" s="2"/>
      <c r="R305" s="2"/>
    </row>
    <row r="306" spans="1:18" x14ac:dyDescent="0.35">
      <c r="A306" s="53">
        <v>479</v>
      </c>
      <c r="B306" s="53" t="s">
        <v>11</v>
      </c>
      <c r="C306" s="53" t="s">
        <v>32</v>
      </c>
      <c r="D306" s="53" t="s">
        <v>18</v>
      </c>
      <c r="E306" s="53" t="s">
        <v>26</v>
      </c>
      <c r="F306" s="54">
        <v>31503.47</v>
      </c>
      <c r="G306" s="53">
        <v>681553</v>
      </c>
      <c r="H306" s="53">
        <v>16667</v>
      </c>
      <c r="I306" s="53">
        <v>1588</v>
      </c>
      <c r="J306" s="54">
        <v>41269.545700000002</v>
      </c>
      <c r="K306" s="55">
        <f t="shared" si="16"/>
        <v>0.31000000000000005</v>
      </c>
      <c r="L306" s="56">
        <f t="shared" si="17"/>
        <v>0.31000000000000005</v>
      </c>
      <c r="M306" s="56" t="str">
        <f t="shared" si="18"/>
        <v/>
      </c>
      <c r="N306" s="56" t="str">
        <f t="shared" si="19"/>
        <v>OK</v>
      </c>
      <c r="O306" s="2"/>
      <c r="P306" s="27"/>
      <c r="Q306" s="2"/>
      <c r="R306" s="2"/>
    </row>
    <row r="307" spans="1:18" x14ac:dyDescent="0.35">
      <c r="A307" s="57">
        <v>500</v>
      </c>
      <c r="B307" s="57" t="s">
        <v>12</v>
      </c>
      <c r="C307" s="57" t="s">
        <v>32</v>
      </c>
      <c r="D307" s="57" t="s">
        <v>20</v>
      </c>
      <c r="E307" s="57" t="s">
        <v>28</v>
      </c>
      <c r="F307" s="58">
        <v>44113.27</v>
      </c>
      <c r="G307" s="57">
        <v>563372</v>
      </c>
      <c r="H307" s="57">
        <v>12056</v>
      </c>
      <c r="I307" s="57">
        <v>823</v>
      </c>
      <c r="J307" s="58">
        <v>57788.383699999998</v>
      </c>
      <c r="K307" s="55">
        <f t="shared" si="16"/>
        <v>0.31000000000000005</v>
      </c>
      <c r="L307" s="56">
        <f t="shared" si="17"/>
        <v>0.31000000000000005</v>
      </c>
      <c r="M307" s="56" t="str">
        <f t="shared" si="18"/>
        <v/>
      </c>
      <c r="N307" s="56" t="str">
        <f t="shared" si="19"/>
        <v>OK</v>
      </c>
      <c r="O307" s="2"/>
      <c r="P307" s="27"/>
      <c r="Q307" s="2"/>
      <c r="R307" s="2"/>
    </row>
    <row r="308" spans="1:18" x14ac:dyDescent="0.35">
      <c r="A308" s="57">
        <v>60</v>
      </c>
      <c r="B308" s="57" t="s">
        <v>15</v>
      </c>
      <c r="C308" s="57" t="s">
        <v>32</v>
      </c>
      <c r="D308" s="57" t="s">
        <v>18</v>
      </c>
      <c r="E308" s="57" t="s">
        <v>25</v>
      </c>
      <c r="F308" s="58">
        <v>5501.67</v>
      </c>
      <c r="G308" s="57">
        <v>13696</v>
      </c>
      <c r="H308" s="57">
        <v>3291</v>
      </c>
      <c r="I308" s="57">
        <v>1106</v>
      </c>
      <c r="J308" s="58">
        <v>7262.2043999999996</v>
      </c>
      <c r="K308" s="55">
        <f t="shared" si="16"/>
        <v>0.3199999999999999</v>
      </c>
      <c r="L308" s="56">
        <f t="shared" si="17"/>
        <v>0.3199999999999999</v>
      </c>
      <c r="M308" s="56" t="str">
        <f t="shared" si="18"/>
        <v/>
      </c>
      <c r="N308" s="56" t="str">
        <f t="shared" si="19"/>
        <v>OK</v>
      </c>
      <c r="O308" s="2"/>
      <c r="P308" s="27"/>
      <c r="Q308" s="2"/>
      <c r="R308" s="2"/>
    </row>
    <row r="309" spans="1:18" x14ac:dyDescent="0.35">
      <c r="A309" s="57">
        <v>838</v>
      </c>
      <c r="B309" s="57" t="s">
        <v>15</v>
      </c>
      <c r="C309" s="57" t="s">
        <v>32</v>
      </c>
      <c r="D309" s="57" t="s">
        <v>21</v>
      </c>
      <c r="E309" s="57" t="s">
        <v>29</v>
      </c>
      <c r="F309" s="58">
        <v>43425.19</v>
      </c>
      <c r="G309" s="57">
        <v>68692</v>
      </c>
      <c r="H309" s="57">
        <v>17516</v>
      </c>
      <c r="I309" s="57">
        <v>1132</v>
      </c>
      <c r="J309" s="58">
        <v>57321.250800000002</v>
      </c>
      <c r="K309" s="55">
        <f t="shared" si="16"/>
        <v>0.31999999999999995</v>
      </c>
      <c r="L309" s="56">
        <f t="shared" si="17"/>
        <v>0.31999999999999995</v>
      </c>
      <c r="M309" s="56" t="str">
        <f t="shared" si="18"/>
        <v/>
      </c>
      <c r="N309" s="56" t="str">
        <f t="shared" si="19"/>
        <v>OK</v>
      </c>
      <c r="O309" s="2"/>
      <c r="P309" s="27"/>
      <c r="Q309" s="2"/>
      <c r="R309" s="2"/>
    </row>
    <row r="310" spans="1:18" x14ac:dyDescent="0.35">
      <c r="A310" s="57">
        <v>346</v>
      </c>
      <c r="B310" s="57" t="s">
        <v>8</v>
      </c>
      <c r="C310" s="57" t="s">
        <v>31</v>
      </c>
      <c r="D310" s="57" t="s">
        <v>22</v>
      </c>
      <c r="E310" s="57" t="s">
        <v>24</v>
      </c>
      <c r="F310" s="58">
        <v>21585.82</v>
      </c>
      <c r="G310" s="57">
        <v>273625</v>
      </c>
      <c r="H310" s="57">
        <v>19900</v>
      </c>
      <c r="I310" s="57">
        <v>431</v>
      </c>
      <c r="J310" s="58">
        <v>28493.2824</v>
      </c>
      <c r="K310" s="55">
        <f t="shared" si="16"/>
        <v>0.32</v>
      </c>
      <c r="L310" s="56" t="str">
        <f t="shared" si="17"/>
        <v/>
      </c>
      <c r="M310" s="56">
        <f t="shared" si="18"/>
        <v>0.32</v>
      </c>
      <c r="N310" s="56" t="str">
        <f t="shared" si="19"/>
        <v>OK</v>
      </c>
      <c r="O310" s="2"/>
      <c r="P310" s="27"/>
      <c r="Q310" s="2"/>
      <c r="R310" s="2"/>
    </row>
    <row r="311" spans="1:18" x14ac:dyDescent="0.35">
      <c r="A311" s="57">
        <v>980</v>
      </c>
      <c r="B311" s="57" t="s">
        <v>10</v>
      </c>
      <c r="C311" s="57" t="s">
        <v>31</v>
      </c>
      <c r="D311" s="57" t="s">
        <v>21</v>
      </c>
      <c r="E311" s="57" t="s">
        <v>29</v>
      </c>
      <c r="F311" s="58">
        <v>20927.03</v>
      </c>
      <c r="G311" s="57">
        <v>570219</v>
      </c>
      <c r="H311" s="57">
        <v>709</v>
      </c>
      <c r="I311" s="57">
        <v>1479</v>
      </c>
      <c r="J311" s="58">
        <v>27623.679599999999</v>
      </c>
      <c r="K311" s="55">
        <f t="shared" si="16"/>
        <v>0.32000000000000006</v>
      </c>
      <c r="L311" s="56" t="str">
        <f t="shared" si="17"/>
        <v/>
      </c>
      <c r="M311" s="56">
        <f t="shared" si="18"/>
        <v>0.32000000000000006</v>
      </c>
      <c r="N311" s="56" t="str">
        <f t="shared" si="19"/>
        <v>ERROR: Conversions &gt; Clicks</v>
      </c>
      <c r="O311" s="2"/>
      <c r="P311" s="27"/>
      <c r="Q311" s="2"/>
      <c r="R311" s="2"/>
    </row>
    <row r="312" spans="1:18" x14ac:dyDescent="0.35">
      <c r="A312" s="57">
        <v>786</v>
      </c>
      <c r="B312" s="57" t="s">
        <v>11</v>
      </c>
      <c r="C312" s="57" t="s">
        <v>32</v>
      </c>
      <c r="D312" s="57" t="s">
        <v>18</v>
      </c>
      <c r="E312" s="57" t="s">
        <v>27</v>
      </c>
      <c r="F312" s="58">
        <v>36312.1</v>
      </c>
      <c r="G312" s="57">
        <v>39345</v>
      </c>
      <c r="H312" s="57">
        <v>18386</v>
      </c>
      <c r="I312" s="57">
        <v>1150</v>
      </c>
      <c r="J312" s="58">
        <v>47931.972000000002</v>
      </c>
      <c r="K312" s="55">
        <f t="shared" si="16"/>
        <v>0.32000000000000012</v>
      </c>
      <c r="L312" s="56">
        <f t="shared" si="17"/>
        <v>0.32000000000000012</v>
      </c>
      <c r="M312" s="56" t="str">
        <f t="shared" si="18"/>
        <v/>
      </c>
      <c r="N312" s="56" t="str">
        <f t="shared" si="19"/>
        <v>OK</v>
      </c>
      <c r="O312" s="2"/>
      <c r="P312" s="27"/>
      <c r="Q312" s="2"/>
      <c r="R312" s="2"/>
    </row>
    <row r="313" spans="1:18" x14ac:dyDescent="0.35">
      <c r="A313" s="57">
        <v>924</v>
      </c>
      <c r="B313" s="57" t="s">
        <v>8</v>
      </c>
      <c r="C313" s="57" t="s">
        <v>31</v>
      </c>
      <c r="D313" s="57" t="s">
        <v>21</v>
      </c>
      <c r="E313" s="57" t="s">
        <v>28</v>
      </c>
      <c r="F313" s="58">
        <v>49520.24</v>
      </c>
      <c r="G313" s="57">
        <v>430162</v>
      </c>
      <c r="H313" s="57">
        <v>18365</v>
      </c>
      <c r="I313" s="57">
        <v>1217</v>
      </c>
      <c r="J313" s="58">
        <v>65366.716800000002</v>
      </c>
      <c r="K313" s="55">
        <f t="shared" si="16"/>
        <v>0.32000000000000012</v>
      </c>
      <c r="L313" s="56" t="str">
        <f t="shared" si="17"/>
        <v/>
      </c>
      <c r="M313" s="56">
        <f t="shared" si="18"/>
        <v>0.32000000000000012</v>
      </c>
      <c r="N313" s="56" t="str">
        <f t="shared" si="19"/>
        <v>OK</v>
      </c>
      <c r="O313" s="2"/>
      <c r="P313" s="27"/>
      <c r="Q313" s="2"/>
      <c r="R313" s="2"/>
    </row>
    <row r="314" spans="1:18" x14ac:dyDescent="0.35">
      <c r="A314" s="53">
        <v>521</v>
      </c>
      <c r="B314" s="53" t="s">
        <v>13</v>
      </c>
      <c r="C314" s="53" t="s">
        <v>32</v>
      </c>
      <c r="D314" s="53" t="s">
        <v>19</v>
      </c>
      <c r="E314" s="53" t="s">
        <v>25</v>
      </c>
      <c r="F314" s="54">
        <v>41649.79</v>
      </c>
      <c r="G314" s="53">
        <v>837675</v>
      </c>
      <c r="H314" s="53">
        <v>13271</v>
      </c>
      <c r="I314" s="53">
        <v>822</v>
      </c>
      <c r="J314" s="54">
        <v>55394.220699999998</v>
      </c>
      <c r="K314" s="55">
        <f t="shared" si="16"/>
        <v>0.3299999999999999</v>
      </c>
      <c r="L314" s="56">
        <f t="shared" si="17"/>
        <v>0.3299999999999999</v>
      </c>
      <c r="M314" s="56" t="str">
        <f t="shared" si="18"/>
        <v/>
      </c>
      <c r="N314" s="56" t="str">
        <f t="shared" si="19"/>
        <v>OK</v>
      </c>
      <c r="O314" s="2"/>
      <c r="P314" s="27"/>
      <c r="Q314" s="2"/>
      <c r="R314" s="2"/>
    </row>
    <row r="315" spans="1:18" x14ac:dyDescent="0.35">
      <c r="A315" s="53">
        <v>41</v>
      </c>
      <c r="B315" s="53" t="s">
        <v>9</v>
      </c>
      <c r="C315" s="53" t="s">
        <v>31</v>
      </c>
      <c r="D315" s="53" t="s">
        <v>20</v>
      </c>
      <c r="E315" s="53" t="s">
        <v>25</v>
      </c>
      <c r="F315" s="54">
        <v>33901.29</v>
      </c>
      <c r="G315" s="53">
        <v>78323</v>
      </c>
      <c r="H315" s="53">
        <v>15896</v>
      </c>
      <c r="I315" s="53">
        <v>715</v>
      </c>
      <c r="J315" s="54">
        <v>45088.715700000001</v>
      </c>
      <c r="K315" s="55">
        <f t="shared" si="16"/>
        <v>0.32999999999999996</v>
      </c>
      <c r="L315" s="56" t="str">
        <f t="shared" si="17"/>
        <v/>
      </c>
      <c r="M315" s="56">
        <f t="shared" si="18"/>
        <v>0.32999999999999996</v>
      </c>
      <c r="N315" s="56" t="str">
        <f t="shared" si="19"/>
        <v>OK</v>
      </c>
      <c r="O315" s="2"/>
      <c r="P315" s="27"/>
      <c r="Q315" s="2"/>
      <c r="R315" s="2"/>
    </row>
    <row r="316" spans="1:18" x14ac:dyDescent="0.35">
      <c r="A316" s="53">
        <v>565</v>
      </c>
      <c r="B316" s="53" t="s">
        <v>12</v>
      </c>
      <c r="C316" s="53" t="s">
        <v>32</v>
      </c>
      <c r="D316" s="53" t="s">
        <v>21</v>
      </c>
      <c r="E316" s="53" t="s">
        <v>26</v>
      </c>
      <c r="F316" s="54">
        <v>4803.12</v>
      </c>
      <c r="G316" s="53">
        <v>800449</v>
      </c>
      <c r="H316" s="53">
        <v>17374</v>
      </c>
      <c r="I316" s="53">
        <v>701</v>
      </c>
      <c r="J316" s="54">
        <v>6388.1495999999997</v>
      </c>
      <c r="K316" s="55">
        <f t="shared" si="16"/>
        <v>0.32999999999999996</v>
      </c>
      <c r="L316" s="56">
        <f t="shared" si="17"/>
        <v>0.32999999999999996</v>
      </c>
      <c r="M316" s="56" t="str">
        <f t="shared" si="18"/>
        <v/>
      </c>
      <c r="N316" s="56" t="str">
        <f t="shared" si="19"/>
        <v>OK</v>
      </c>
      <c r="O316" s="2"/>
      <c r="P316" s="27"/>
      <c r="Q316" s="2"/>
      <c r="R316" s="2"/>
    </row>
    <row r="317" spans="1:18" x14ac:dyDescent="0.35">
      <c r="A317" s="53">
        <v>119</v>
      </c>
      <c r="B317" s="53" t="s">
        <v>13</v>
      </c>
      <c r="C317" s="53" t="s">
        <v>32</v>
      </c>
      <c r="D317" s="53" t="s">
        <v>17</v>
      </c>
      <c r="E317" s="53" t="s">
        <v>28</v>
      </c>
      <c r="F317" s="54">
        <v>36446.83</v>
      </c>
      <c r="G317" s="53">
        <v>735453</v>
      </c>
      <c r="H317" s="53">
        <v>7182</v>
      </c>
      <c r="I317" s="53">
        <v>1610</v>
      </c>
      <c r="J317" s="54">
        <v>48474.283900000002</v>
      </c>
      <c r="K317" s="55">
        <f t="shared" si="16"/>
        <v>0.33</v>
      </c>
      <c r="L317" s="56">
        <f t="shared" si="17"/>
        <v>0.33</v>
      </c>
      <c r="M317" s="56" t="str">
        <f t="shared" si="18"/>
        <v/>
      </c>
      <c r="N317" s="56" t="str">
        <f t="shared" si="19"/>
        <v>OK</v>
      </c>
      <c r="O317" s="2"/>
      <c r="P317" s="27"/>
      <c r="Q317" s="2"/>
      <c r="R317" s="2"/>
    </row>
    <row r="318" spans="1:18" x14ac:dyDescent="0.35">
      <c r="A318" s="53">
        <v>249</v>
      </c>
      <c r="B318" s="53" t="s">
        <v>11</v>
      </c>
      <c r="C318" s="53" t="s">
        <v>32</v>
      </c>
      <c r="D318" s="53" t="s">
        <v>22</v>
      </c>
      <c r="E318" s="53" t="s">
        <v>29</v>
      </c>
      <c r="F318" s="54">
        <v>37714.9</v>
      </c>
      <c r="G318" s="53">
        <v>261514</v>
      </c>
      <c r="H318" s="53">
        <v>12258</v>
      </c>
      <c r="I318" s="53">
        <v>929</v>
      </c>
      <c r="J318" s="54">
        <v>50160.817000000003</v>
      </c>
      <c r="K318" s="55">
        <f t="shared" si="16"/>
        <v>0.33</v>
      </c>
      <c r="L318" s="56">
        <f t="shared" si="17"/>
        <v>0.33</v>
      </c>
      <c r="M318" s="56" t="str">
        <f t="shared" si="18"/>
        <v/>
      </c>
      <c r="N318" s="56" t="str">
        <f t="shared" si="19"/>
        <v>OK</v>
      </c>
      <c r="O318" s="2"/>
      <c r="P318" s="27"/>
      <c r="Q318" s="2"/>
      <c r="R318" s="2"/>
    </row>
    <row r="319" spans="1:18" x14ac:dyDescent="0.35">
      <c r="A319" s="57">
        <v>316</v>
      </c>
      <c r="B319" s="57" t="s">
        <v>13</v>
      </c>
      <c r="C319" s="57" t="s">
        <v>32</v>
      </c>
      <c r="D319" s="57" t="s">
        <v>20</v>
      </c>
      <c r="E319" s="57" t="s">
        <v>29</v>
      </c>
      <c r="F319" s="58">
        <v>36534.089999999997</v>
      </c>
      <c r="G319" s="57">
        <v>822832</v>
      </c>
      <c r="H319" s="57">
        <v>369</v>
      </c>
      <c r="I319" s="57">
        <v>42</v>
      </c>
      <c r="J319" s="58">
        <v>48590.339699999997</v>
      </c>
      <c r="K319" s="55">
        <f t="shared" si="16"/>
        <v>0.33</v>
      </c>
      <c r="L319" s="56">
        <f t="shared" si="17"/>
        <v>0.33</v>
      </c>
      <c r="M319" s="56" t="str">
        <f t="shared" si="18"/>
        <v/>
      </c>
      <c r="N319" s="56" t="str">
        <f t="shared" si="19"/>
        <v>OK</v>
      </c>
      <c r="O319" s="2"/>
      <c r="P319" s="27"/>
      <c r="Q319" s="2"/>
      <c r="R319" s="2"/>
    </row>
    <row r="320" spans="1:18" x14ac:dyDescent="0.35">
      <c r="A320" s="53">
        <v>765</v>
      </c>
      <c r="B320" s="53" t="s">
        <v>15</v>
      </c>
      <c r="C320" s="53" t="s">
        <v>32</v>
      </c>
      <c r="D320" s="53" t="s">
        <v>20</v>
      </c>
      <c r="E320" s="53" t="s">
        <v>27</v>
      </c>
      <c r="F320" s="54">
        <v>27900.04</v>
      </c>
      <c r="G320" s="53">
        <v>780644</v>
      </c>
      <c r="H320" s="53">
        <v>6297</v>
      </c>
      <c r="I320" s="53">
        <v>88</v>
      </c>
      <c r="J320" s="54">
        <v>37107.053200000002</v>
      </c>
      <c r="K320" s="55">
        <f t="shared" si="16"/>
        <v>0.33</v>
      </c>
      <c r="L320" s="56">
        <f t="shared" si="17"/>
        <v>0.33</v>
      </c>
      <c r="M320" s="56" t="str">
        <f t="shared" si="18"/>
        <v/>
      </c>
      <c r="N320" s="56" t="str">
        <f t="shared" si="19"/>
        <v>OK</v>
      </c>
      <c r="O320" s="2"/>
      <c r="P320" s="27"/>
      <c r="Q320" s="2"/>
      <c r="R320" s="2"/>
    </row>
    <row r="321" spans="1:18" x14ac:dyDescent="0.35">
      <c r="A321" s="57">
        <v>264</v>
      </c>
      <c r="B321" s="57" t="s">
        <v>11</v>
      </c>
      <c r="C321" s="57" t="s">
        <v>32</v>
      </c>
      <c r="D321" s="57" t="s">
        <v>18</v>
      </c>
      <c r="E321" s="57" t="s">
        <v>24</v>
      </c>
      <c r="F321" s="58">
        <v>33321.839999999997</v>
      </c>
      <c r="G321" s="57">
        <v>95774</v>
      </c>
      <c r="H321" s="57">
        <v>19667</v>
      </c>
      <c r="I321" s="57">
        <v>1388</v>
      </c>
      <c r="J321" s="58">
        <v>44318.047200000001</v>
      </c>
      <c r="K321" s="55">
        <f t="shared" si="16"/>
        <v>0.33000000000000018</v>
      </c>
      <c r="L321" s="56">
        <f t="shared" si="17"/>
        <v>0.33000000000000018</v>
      </c>
      <c r="M321" s="56" t="str">
        <f t="shared" si="18"/>
        <v/>
      </c>
      <c r="N321" s="56" t="str">
        <f t="shared" si="19"/>
        <v>OK</v>
      </c>
      <c r="O321" s="2"/>
      <c r="P321" s="27"/>
      <c r="Q321" s="2"/>
      <c r="R321" s="2"/>
    </row>
    <row r="322" spans="1:18" x14ac:dyDescent="0.35">
      <c r="A322" s="53">
        <v>589</v>
      </c>
      <c r="B322" s="53" t="s">
        <v>12</v>
      </c>
      <c r="C322" s="53" t="s">
        <v>32</v>
      </c>
      <c r="D322" s="53" t="s">
        <v>21</v>
      </c>
      <c r="E322" s="53" t="s">
        <v>24</v>
      </c>
      <c r="F322" s="54">
        <v>19566.599999999999</v>
      </c>
      <c r="G322" s="53">
        <v>299730</v>
      </c>
      <c r="H322" s="53">
        <v>14443</v>
      </c>
      <c r="I322" s="53">
        <v>1591</v>
      </c>
      <c r="J322" s="54">
        <v>26023.578000000001</v>
      </c>
      <c r="K322" s="55">
        <f t="shared" ref="K322:K385" si="20">(J322-F322)/F322</f>
        <v>0.33000000000000018</v>
      </c>
      <c r="L322" s="56">
        <f t="shared" ref="L322:L385" si="21">IF(C322="Digital",K322,"")</f>
        <v>0.33000000000000018</v>
      </c>
      <c r="M322" s="56" t="str">
        <f t="shared" ref="M322:M385" si="22">IF(C322="Traditional",K322,"")</f>
        <v/>
      </c>
      <c r="N322" s="56" t="str">
        <f t="shared" ref="N322:N385" si="23">IF(H322&gt;G322,"ERROR: Clicks &gt; Impressions",IF(I322&gt;H322,"ERROR: Conversions &gt; Clicks","OK"))</f>
        <v>OK</v>
      </c>
      <c r="O322" s="2"/>
      <c r="P322" s="27"/>
      <c r="Q322" s="2"/>
      <c r="R322" s="2"/>
    </row>
    <row r="323" spans="1:18" x14ac:dyDescent="0.35">
      <c r="A323" s="53">
        <v>391</v>
      </c>
      <c r="B323" s="53" t="s">
        <v>9</v>
      </c>
      <c r="C323" s="53" t="s">
        <v>31</v>
      </c>
      <c r="D323" s="53" t="s">
        <v>18</v>
      </c>
      <c r="E323" s="53" t="s">
        <v>25</v>
      </c>
      <c r="F323" s="54">
        <v>40315.360000000001</v>
      </c>
      <c r="G323" s="53">
        <v>303946</v>
      </c>
      <c r="H323" s="53">
        <v>1217</v>
      </c>
      <c r="I323" s="53">
        <v>206</v>
      </c>
      <c r="J323" s="54">
        <v>54022.582399999999</v>
      </c>
      <c r="K323" s="55">
        <f t="shared" si="20"/>
        <v>0.33999999999999997</v>
      </c>
      <c r="L323" s="56" t="str">
        <f t="shared" si="21"/>
        <v/>
      </c>
      <c r="M323" s="56">
        <f t="shared" si="22"/>
        <v>0.33999999999999997</v>
      </c>
      <c r="N323" s="56" t="str">
        <f t="shared" si="23"/>
        <v>OK</v>
      </c>
      <c r="O323" s="2"/>
      <c r="P323" s="27"/>
      <c r="Q323" s="2"/>
      <c r="R323" s="2"/>
    </row>
    <row r="324" spans="1:18" x14ac:dyDescent="0.35">
      <c r="A324" s="57">
        <v>452</v>
      </c>
      <c r="B324" s="57" t="s">
        <v>10</v>
      </c>
      <c r="C324" s="57" t="s">
        <v>31</v>
      </c>
      <c r="D324" s="57" t="s">
        <v>21</v>
      </c>
      <c r="E324" s="57" t="s">
        <v>27</v>
      </c>
      <c r="F324" s="58">
        <v>17699.97</v>
      </c>
      <c r="G324" s="57">
        <v>55833</v>
      </c>
      <c r="H324" s="57">
        <v>9865</v>
      </c>
      <c r="I324" s="57">
        <v>1524</v>
      </c>
      <c r="J324" s="58">
        <v>23717.959800000001</v>
      </c>
      <c r="K324" s="55">
        <f t="shared" si="20"/>
        <v>0.33999999999999997</v>
      </c>
      <c r="L324" s="56" t="str">
        <f t="shared" si="21"/>
        <v/>
      </c>
      <c r="M324" s="56">
        <f t="shared" si="22"/>
        <v>0.33999999999999997</v>
      </c>
      <c r="N324" s="56" t="str">
        <f t="shared" si="23"/>
        <v>OK</v>
      </c>
      <c r="O324" s="2"/>
      <c r="P324" s="27"/>
      <c r="Q324" s="2"/>
      <c r="R324" s="2"/>
    </row>
    <row r="325" spans="1:18" x14ac:dyDescent="0.35">
      <c r="A325" s="57">
        <v>870</v>
      </c>
      <c r="B325" s="57" t="s">
        <v>10</v>
      </c>
      <c r="C325" s="57" t="s">
        <v>31</v>
      </c>
      <c r="D325" s="57" t="s">
        <v>18</v>
      </c>
      <c r="E325" s="57" t="s">
        <v>25</v>
      </c>
      <c r="F325" s="58">
        <v>27646.48</v>
      </c>
      <c r="G325" s="57">
        <v>918380</v>
      </c>
      <c r="H325" s="57">
        <v>17410</v>
      </c>
      <c r="I325" s="57">
        <v>1575</v>
      </c>
      <c r="J325" s="58">
        <v>37046.283199999998</v>
      </c>
      <c r="K325" s="55">
        <f t="shared" si="20"/>
        <v>0.33999999999999997</v>
      </c>
      <c r="L325" s="56" t="str">
        <f t="shared" si="21"/>
        <v/>
      </c>
      <c r="M325" s="56">
        <f t="shared" si="22"/>
        <v>0.33999999999999997</v>
      </c>
      <c r="N325" s="56" t="str">
        <f t="shared" si="23"/>
        <v>OK</v>
      </c>
      <c r="O325" s="2"/>
      <c r="P325" s="27"/>
      <c r="Q325" s="2"/>
      <c r="R325" s="2"/>
    </row>
    <row r="326" spans="1:18" x14ac:dyDescent="0.35">
      <c r="A326" s="57">
        <v>474</v>
      </c>
      <c r="B326" s="57" t="s">
        <v>12</v>
      </c>
      <c r="C326" s="57" t="s">
        <v>32</v>
      </c>
      <c r="D326" s="57" t="s">
        <v>17</v>
      </c>
      <c r="E326" s="57" t="s">
        <v>28</v>
      </c>
      <c r="F326" s="58">
        <v>45461.63</v>
      </c>
      <c r="G326" s="57">
        <v>729979</v>
      </c>
      <c r="H326" s="57">
        <v>16179</v>
      </c>
      <c r="I326" s="57">
        <v>1460</v>
      </c>
      <c r="J326" s="58">
        <v>60918.584199999998</v>
      </c>
      <c r="K326" s="55">
        <f t="shared" si="20"/>
        <v>0.34</v>
      </c>
      <c r="L326" s="56">
        <f t="shared" si="21"/>
        <v>0.34</v>
      </c>
      <c r="M326" s="56" t="str">
        <f t="shared" si="22"/>
        <v/>
      </c>
      <c r="N326" s="56" t="str">
        <f t="shared" si="23"/>
        <v>OK</v>
      </c>
      <c r="O326" s="2"/>
      <c r="P326" s="27"/>
      <c r="Q326" s="2"/>
      <c r="R326" s="2"/>
    </row>
    <row r="327" spans="1:18" x14ac:dyDescent="0.35">
      <c r="A327" s="53">
        <v>497</v>
      </c>
      <c r="B327" s="53" t="s">
        <v>9</v>
      </c>
      <c r="C327" s="53" t="s">
        <v>31</v>
      </c>
      <c r="D327" s="53" t="s">
        <v>21</v>
      </c>
      <c r="E327" s="53" t="s">
        <v>25</v>
      </c>
      <c r="F327" s="54">
        <v>14943.55</v>
      </c>
      <c r="G327" s="53">
        <v>64330</v>
      </c>
      <c r="H327" s="53">
        <v>16754</v>
      </c>
      <c r="I327" s="53">
        <v>741</v>
      </c>
      <c r="J327" s="54">
        <v>20024.357</v>
      </c>
      <c r="K327" s="55">
        <f t="shared" si="20"/>
        <v>0.34000000000000008</v>
      </c>
      <c r="L327" s="56" t="str">
        <f t="shared" si="21"/>
        <v/>
      </c>
      <c r="M327" s="56">
        <f t="shared" si="22"/>
        <v>0.34000000000000008</v>
      </c>
      <c r="N327" s="56" t="str">
        <f t="shared" si="23"/>
        <v>OK</v>
      </c>
      <c r="O327" s="2"/>
      <c r="P327" s="27"/>
      <c r="Q327" s="2"/>
      <c r="R327" s="2"/>
    </row>
    <row r="328" spans="1:18" x14ac:dyDescent="0.35">
      <c r="A328" s="53">
        <v>85</v>
      </c>
      <c r="B328" s="53" t="s">
        <v>8</v>
      </c>
      <c r="C328" s="53" t="s">
        <v>31</v>
      </c>
      <c r="D328" s="53" t="s">
        <v>22</v>
      </c>
      <c r="E328" s="53" t="s">
        <v>28</v>
      </c>
      <c r="F328" s="54">
        <v>37375.050000000003</v>
      </c>
      <c r="G328" s="53">
        <v>652762</v>
      </c>
      <c r="H328" s="53">
        <v>14086</v>
      </c>
      <c r="I328" s="53">
        <v>1785</v>
      </c>
      <c r="J328" s="54">
        <v>50456.317499999997</v>
      </c>
      <c r="K328" s="55">
        <f t="shared" si="20"/>
        <v>0.34999999999999981</v>
      </c>
      <c r="L328" s="56" t="str">
        <f t="shared" si="21"/>
        <v/>
      </c>
      <c r="M328" s="56">
        <f t="shared" si="22"/>
        <v>0.34999999999999981</v>
      </c>
      <c r="N328" s="56" t="str">
        <f t="shared" si="23"/>
        <v>OK</v>
      </c>
      <c r="O328" s="2"/>
      <c r="P328" s="27"/>
      <c r="Q328" s="2"/>
      <c r="R328" s="2"/>
    </row>
    <row r="329" spans="1:18" x14ac:dyDescent="0.35">
      <c r="A329" s="53">
        <v>731</v>
      </c>
      <c r="B329" s="53" t="s">
        <v>9</v>
      </c>
      <c r="C329" s="53" t="s">
        <v>31</v>
      </c>
      <c r="D329" s="53" t="s">
        <v>21</v>
      </c>
      <c r="E329" s="53" t="s">
        <v>27</v>
      </c>
      <c r="F329" s="54">
        <v>40649.980000000003</v>
      </c>
      <c r="G329" s="53">
        <v>69500</v>
      </c>
      <c r="H329" s="53">
        <v>17590</v>
      </c>
      <c r="I329" s="53">
        <v>57</v>
      </c>
      <c r="J329" s="54">
        <v>54877.472999999998</v>
      </c>
      <c r="K329" s="55">
        <f t="shared" si="20"/>
        <v>0.34999999999999987</v>
      </c>
      <c r="L329" s="56" t="str">
        <f t="shared" si="21"/>
        <v/>
      </c>
      <c r="M329" s="56">
        <f t="shared" si="22"/>
        <v>0.34999999999999987</v>
      </c>
      <c r="N329" s="56" t="str">
        <f t="shared" si="23"/>
        <v>OK</v>
      </c>
      <c r="O329" s="2"/>
      <c r="P329" s="27"/>
      <c r="Q329" s="2"/>
      <c r="R329" s="2"/>
    </row>
    <row r="330" spans="1:18" x14ac:dyDescent="0.35">
      <c r="A330" s="57">
        <v>988</v>
      </c>
      <c r="B330" s="57" t="s">
        <v>12</v>
      </c>
      <c r="C330" s="57" t="s">
        <v>32</v>
      </c>
      <c r="D330" s="57" t="s">
        <v>21</v>
      </c>
      <c r="E330" s="57" t="s">
        <v>25</v>
      </c>
      <c r="F330" s="58">
        <v>1638.45</v>
      </c>
      <c r="G330" s="57">
        <v>741862</v>
      </c>
      <c r="H330" s="57">
        <v>12430</v>
      </c>
      <c r="I330" s="57">
        <v>424</v>
      </c>
      <c r="J330" s="58">
        <v>2211.9074999999998</v>
      </c>
      <c r="K330" s="55">
        <f t="shared" si="20"/>
        <v>0.34999999999999987</v>
      </c>
      <c r="L330" s="56">
        <f t="shared" si="21"/>
        <v>0.34999999999999987</v>
      </c>
      <c r="M330" s="56" t="str">
        <f t="shared" si="22"/>
        <v/>
      </c>
      <c r="N330" s="56" t="str">
        <f t="shared" si="23"/>
        <v>OK</v>
      </c>
      <c r="O330" s="2"/>
      <c r="P330" s="27"/>
      <c r="Q330" s="2"/>
      <c r="R330" s="2"/>
    </row>
    <row r="331" spans="1:18" x14ac:dyDescent="0.35">
      <c r="A331" s="53">
        <v>95</v>
      </c>
      <c r="B331" s="53" t="s">
        <v>10</v>
      </c>
      <c r="C331" s="53" t="s">
        <v>31</v>
      </c>
      <c r="D331" s="53" t="s">
        <v>22</v>
      </c>
      <c r="E331" s="53" t="s">
        <v>27</v>
      </c>
      <c r="F331" s="54">
        <v>1540.55</v>
      </c>
      <c r="G331" s="53">
        <v>44540</v>
      </c>
      <c r="H331" s="53">
        <v>14434</v>
      </c>
      <c r="I331" s="53">
        <v>220</v>
      </c>
      <c r="J331" s="54">
        <v>2079.7424999999998</v>
      </c>
      <c r="K331" s="55">
        <f t="shared" si="20"/>
        <v>0.34999999999999992</v>
      </c>
      <c r="L331" s="56" t="str">
        <f t="shared" si="21"/>
        <v/>
      </c>
      <c r="M331" s="56">
        <f t="shared" si="22"/>
        <v>0.34999999999999992</v>
      </c>
      <c r="N331" s="56" t="str">
        <f t="shared" si="23"/>
        <v>OK</v>
      </c>
      <c r="O331" s="2"/>
      <c r="P331" s="27"/>
      <c r="Q331" s="2"/>
      <c r="R331" s="2"/>
    </row>
    <row r="332" spans="1:18" x14ac:dyDescent="0.35">
      <c r="A332" s="53">
        <v>125</v>
      </c>
      <c r="B332" s="53" t="s">
        <v>15</v>
      </c>
      <c r="C332" s="53" t="s">
        <v>32</v>
      </c>
      <c r="D332" s="53" t="s">
        <v>18</v>
      </c>
      <c r="E332" s="53" t="s">
        <v>26</v>
      </c>
      <c r="F332" s="54">
        <v>30369.08</v>
      </c>
      <c r="G332" s="53">
        <v>320001</v>
      </c>
      <c r="H332" s="53">
        <v>5841</v>
      </c>
      <c r="I332" s="53">
        <v>1919</v>
      </c>
      <c r="J332" s="54">
        <v>40998.258000000002</v>
      </c>
      <c r="K332" s="55">
        <f t="shared" si="20"/>
        <v>0.35</v>
      </c>
      <c r="L332" s="56">
        <f t="shared" si="21"/>
        <v>0.35</v>
      </c>
      <c r="M332" s="56" t="str">
        <f t="shared" si="22"/>
        <v/>
      </c>
      <c r="N332" s="56" t="str">
        <f t="shared" si="23"/>
        <v>OK</v>
      </c>
      <c r="O332" s="2"/>
      <c r="P332" s="27"/>
      <c r="Q332" s="2"/>
      <c r="R332" s="2"/>
    </row>
    <row r="333" spans="1:18" x14ac:dyDescent="0.35">
      <c r="A333" s="57">
        <v>324</v>
      </c>
      <c r="B333" s="57" t="s">
        <v>14</v>
      </c>
      <c r="C333" s="57" t="s">
        <v>32</v>
      </c>
      <c r="D333" s="57" t="s">
        <v>18</v>
      </c>
      <c r="E333" s="57" t="s">
        <v>25</v>
      </c>
      <c r="F333" s="58">
        <v>2438.84</v>
      </c>
      <c r="G333" s="57">
        <v>488108</v>
      </c>
      <c r="H333" s="57">
        <v>14921</v>
      </c>
      <c r="I333" s="57">
        <v>1279</v>
      </c>
      <c r="J333" s="58">
        <v>3292.4340000000002</v>
      </c>
      <c r="K333" s="55">
        <f t="shared" si="20"/>
        <v>0.35</v>
      </c>
      <c r="L333" s="56">
        <f t="shared" si="21"/>
        <v>0.35</v>
      </c>
      <c r="M333" s="56" t="str">
        <f t="shared" si="22"/>
        <v/>
      </c>
      <c r="N333" s="56" t="str">
        <f t="shared" si="23"/>
        <v>OK</v>
      </c>
      <c r="O333" s="2"/>
      <c r="P333" s="27"/>
      <c r="Q333" s="2"/>
      <c r="R333" s="2"/>
    </row>
    <row r="334" spans="1:18" x14ac:dyDescent="0.35">
      <c r="A334" s="57">
        <v>644</v>
      </c>
      <c r="B334" s="57" t="s">
        <v>11</v>
      </c>
      <c r="C334" s="57" t="s">
        <v>32</v>
      </c>
      <c r="D334" s="57" t="s">
        <v>20</v>
      </c>
      <c r="E334" s="57" t="s">
        <v>24</v>
      </c>
      <c r="F334" s="58">
        <v>9096.86</v>
      </c>
      <c r="G334" s="57">
        <v>715191</v>
      </c>
      <c r="H334" s="57">
        <v>9443</v>
      </c>
      <c r="I334" s="57">
        <v>1123</v>
      </c>
      <c r="J334" s="58">
        <v>12280.761</v>
      </c>
      <c r="K334" s="55">
        <f t="shared" si="20"/>
        <v>0.35</v>
      </c>
      <c r="L334" s="56">
        <f t="shared" si="21"/>
        <v>0.35</v>
      </c>
      <c r="M334" s="56" t="str">
        <f t="shared" si="22"/>
        <v/>
      </c>
      <c r="N334" s="56" t="str">
        <f t="shared" si="23"/>
        <v>OK</v>
      </c>
      <c r="O334" s="2"/>
      <c r="P334" s="27"/>
      <c r="Q334" s="2"/>
      <c r="R334" s="2"/>
    </row>
    <row r="335" spans="1:18" x14ac:dyDescent="0.35">
      <c r="A335" s="53">
        <v>397</v>
      </c>
      <c r="B335" s="53" t="s">
        <v>13</v>
      </c>
      <c r="C335" s="53" t="s">
        <v>32</v>
      </c>
      <c r="D335" s="53" t="s">
        <v>22</v>
      </c>
      <c r="E335" s="53" t="s">
        <v>29</v>
      </c>
      <c r="F335" s="54">
        <v>7245.24</v>
      </c>
      <c r="G335" s="53">
        <v>616226</v>
      </c>
      <c r="H335" s="53">
        <v>7092</v>
      </c>
      <c r="I335" s="53">
        <v>1284</v>
      </c>
      <c r="J335" s="54">
        <v>9781.0740000000005</v>
      </c>
      <c r="K335" s="55">
        <f t="shared" si="20"/>
        <v>0.35000000000000009</v>
      </c>
      <c r="L335" s="56">
        <f t="shared" si="21"/>
        <v>0.35000000000000009</v>
      </c>
      <c r="M335" s="56" t="str">
        <f t="shared" si="22"/>
        <v/>
      </c>
      <c r="N335" s="56" t="str">
        <f t="shared" si="23"/>
        <v>OK</v>
      </c>
      <c r="O335" s="2"/>
      <c r="P335" s="27"/>
      <c r="Q335" s="2"/>
      <c r="R335" s="2"/>
    </row>
    <row r="336" spans="1:18" x14ac:dyDescent="0.35">
      <c r="A336" s="53">
        <v>367</v>
      </c>
      <c r="B336" s="53" t="s">
        <v>10</v>
      </c>
      <c r="C336" s="53" t="s">
        <v>31</v>
      </c>
      <c r="D336" s="53" t="s">
        <v>20</v>
      </c>
      <c r="E336" s="53" t="s">
        <v>26</v>
      </c>
      <c r="F336" s="54">
        <v>4776.82</v>
      </c>
      <c r="G336" s="53">
        <v>358754</v>
      </c>
      <c r="H336" s="53">
        <v>5547</v>
      </c>
      <c r="I336" s="53">
        <v>1459</v>
      </c>
      <c r="J336" s="54">
        <v>6496.4751999999999</v>
      </c>
      <c r="K336" s="55">
        <f t="shared" si="20"/>
        <v>0.36000000000000004</v>
      </c>
      <c r="L336" s="56" t="str">
        <f t="shared" si="21"/>
        <v/>
      </c>
      <c r="M336" s="56">
        <f t="shared" si="22"/>
        <v>0.36000000000000004</v>
      </c>
      <c r="N336" s="56" t="str">
        <f t="shared" si="23"/>
        <v>OK</v>
      </c>
      <c r="O336" s="2"/>
      <c r="P336" s="27"/>
      <c r="Q336" s="2"/>
      <c r="R336" s="2"/>
    </row>
    <row r="337" spans="1:18" x14ac:dyDescent="0.35">
      <c r="A337" s="57">
        <v>606</v>
      </c>
      <c r="B337" s="57" t="s">
        <v>9</v>
      </c>
      <c r="C337" s="57" t="s">
        <v>31</v>
      </c>
      <c r="D337" s="57" t="s">
        <v>19</v>
      </c>
      <c r="E337" s="57" t="s">
        <v>28</v>
      </c>
      <c r="F337" s="58">
        <v>7653.66</v>
      </c>
      <c r="G337" s="57">
        <v>446542</v>
      </c>
      <c r="H337" s="57">
        <v>9560</v>
      </c>
      <c r="I337" s="57">
        <v>948</v>
      </c>
      <c r="J337" s="58">
        <v>10408.9776</v>
      </c>
      <c r="K337" s="55">
        <f t="shared" si="20"/>
        <v>0.36000000000000004</v>
      </c>
      <c r="L337" s="56" t="str">
        <f t="shared" si="21"/>
        <v/>
      </c>
      <c r="M337" s="56">
        <f t="shared" si="22"/>
        <v>0.36000000000000004</v>
      </c>
      <c r="N337" s="56" t="str">
        <f t="shared" si="23"/>
        <v>OK</v>
      </c>
      <c r="O337" s="2"/>
      <c r="P337" s="27"/>
      <c r="Q337" s="2"/>
      <c r="R337" s="2"/>
    </row>
    <row r="338" spans="1:18" x14ac:dyDescent="0.35">
      <c r="A338" s="57">
        <v>986</v>
      </c>
      <c r="B338" s="57" t="s">
        <v>14</v>
      </c>
      <c r="C338" s="57" t="s">
        <v>32</v>
      </c>
      <c r="D338" s="57" t="s">
        <v>19</v>
      </c>
      <c r="E338" s="57" t="s">
        <v>29</v>
      </c>
      <c r="F338" s="58">
        <v>9628.68</v>
      </c>
      <c r="G338" s="57">
        <v>118944</v>
      </c>
      <c r="H338" s="57">
        <v>2353</v>
      </c>
      <c r="I338" s="57">
        <v>1286</v>
      </c>
      <c r="J338" s="58">
        <v>13095.004800000001</v>
      </c>
      <c r="K338" s="55">
        <f t="shared" si="20"/>
        <v>0.36000000000000004</v>
      </c>
      <c r="L338" s="56">
        <f t="shared" si="21"/>
        <v>0.36000000000000004</v>
      </c>
      <c r="M338" s="56" t="str">
        <f t="shared" si="22"/>
        <v/>
      </c>
      <c r="N338" s="56" t="str">
        <f t="shared" si="23"/>
        <v>OK</v>
      </c>
      <c r="O338" s="2"/>
      <c r="P338" s="27"/>
      <c r="Q338" s="2"/>
      <c r="R338" s="2"/>
    </row>
    <row r="339" spans="1:18" x14ac:dyDescent="0.35">
      <c r="A339" s="53">
        <v>399</v>
      </c>
      <c r="B339" s="53" t="s">
        <v>13</v>
      </c>
      <c r="C339" s="53" t="s">
        <v>32</v>
      </c>
      <c r="D339" s="53" t="s">
        <v>18</v>
      </c>
      <c r="E339" s="53" t="s">
        <v>27</v>
      </c>
      <c r="F339" s="54">
        <v>48666.04</v>
      </c>
      <c r="G339" s="53">
        <v>786388</v>
      </c>
      <c r="H339" s="53">
        <v>6871</v>
      </c>
      <c r="I339" s="53">
        <v>899</v>
      </c>
      <c r="J339" s="54">
        <v>66672.474799999996</v>
      </c>
      <c r="K339" s="55">
        <f t="shared" si="20"/>
        <v>0.36999999999999988</v>
      </c>
      <c r="L339" s="56">
        <f t="shared" si="21"/>
        <v>0.36999999999999988</v>
      </c>
      <c r="M339" s="56" t="str">
        <f t="shared" si="22"/>
        <v/>
      </c>
      <c r="N339" s="56" t="str">
        <f t="shared" si="23"/>
        <v>OK</v>
      </c>
      <c r="O339" s="2"/>
      <c r="P339" s="27"/>
      <c r="Q339" s="2"/>
      <c r="R339" s="2"/>
    </row>
    <row r="340" spans="1:18" x14ac:dyDescent="0.35">
      <c r="A340" s="57">
        <v>702</v>
      </c>
      <c r="B340" s="57" t="s">
        <v>13</v>
      </c>
      <c r="C340" s="57" t="s">
        <v>32</v>
      </c>
      <c r="D340" s="57" t="s">
        <v>17</v>
      </c>
      <c r="E340" s="57" t="s">
        <v>24</v>
      </c>
      <c r="F340" s="58">
        <v>13546.33</v>
      </c>
      <c r="G340" s="57">
        <v>831530</v>
      </c>
      <c r="H340" s="57">
        <v>6619</v>
      </c>
      <c r="I340" s="57">
        <v>230</v>
      </c>
      <c r="J340" s="58">
        <v>18558.472099999999</v>
      </c>
      <c r="K340" s="55">
        <f t="shared" si="20"/>
        <v>0.36999999999999994</v>
      </c>
      <c r="L340" s="56">
        <f t="shared" si="21"/>
        <v>0.36999999999999994</v>
      </c>
      <c r="M340" s="56" t="str">
        <f t="shared" si="22"/>
        <v/>
      </c>
      <c r="N340" s="56" t="str">
        <f t="shared" si="23"/>
        <v>OK</v>
      </c>
      <c r="O340" s="2"/>
      <c r="P340" s="27"/>
      <c r="Q340" s="2"/>
      <c r="R340" s="2"/>
    </row>
    <row r="341" spans="1:18" x14ac:dyDescent="0.35">
      <c r="A341" s="57">
        <v>944</v>
      </c>
      <c r="B341" s="57" t="s">
        <v>15</v>
      </c>
      <c r="C341" s="57" t="s">
        <v>32</v>
      </c>
      <c r="D341" s="57" t="s">
        <v>19</v>
      </c>
      <c r="E341" s="57" t="s">
        <v>29</v>
      </c>
      <c r="F341" s="58">
        <v>47422.37</v>
      </c>
      <c r="G341" s="57">
        <v>305809</v>
      </c>
      <c r="H341" s="57">
        <v>19153</v>
      </c>
      <c r="I341" s="57">
        <v>1068</v>
      </c>
      <c r="J341" s="58">
        <v>64968.6469</v>
      </c>
      <c r="K341" s="55">
        <f t="shared" si="20"/>
        <v>0.36999999999999994</v>
      </c>
      <c r="L341" s="56">
        <f t="shared" si="21"/>
        <v>0.36999999999999994</v>
      </c>
      <c r="M341" s="56" t="str">
        <f t="shared" si="22"/>
        <v/>
      </c>
      <c r="N341" s="56" t="str">
        <f t="shared" si="23"/>
        <v>OK</v>
      </c>
      <c r="O341" s="2"/>
      <c r="P341" s="27"/>
      <c r="Q341" s="2"/>
      <c r="R341" s="2"/>
    </row>
    <row r="342" spans="1:18" x14ac:dyDescent="0.35">
      <c r="A342" s="57">
        <v>306</v>
      </c>
      <c r="B342" s="57" t="s">
        <v>15</v>
      </c>
      <c r="C342" s="57" t="s">
        <v>32</v>
      </c>
      <c r="D342" s="57" t="s">
        <v>21</v>
      </c>
      <c r="E342" s="57" t="s">
        <v>24</v>
      </c>
      <c r="F342" s="58">
        <v>16344.94</v>
      </c>
      <c r="G342" s="57">
        <v>345299</v>
      </c>
      <c r="H342" s="57">
        <v>11169</v>
      </c>
      <c r="I342" s="57">
        <v>607</v>
      </c>
      <c r="J342" s="58">
        <v>22392.567800000001</v>
      </c>
      <c r="K342" s="55">
        <f t="shared" si="20"/>
        <v>0.37</v>
      </c>
      <c r="L342" s="56">
        <f t="shared" si="21"/>
        <v>0.37</v>
      </c>
      <c r="M342" s="56" t="str">
        <f t="shared" si="22"/>
        <v/>
      </c>
      <c r="N342" s="56" t="str">
        <f t="shared" si="23"/>
        <v>OK</v>
      </c>
      <c r="O342" s="2"/>
      <c r="P342" s="27"/>
      <c r="Q342" s="2"/>
      <c r="R342" s="2"/>
    </row>
    <row r="343" spans="1:18" x14ac:dyDescent="0.35">
      <c r="A343" s="53">
        <v>917</v>
      </c>
      <c r="B343" s="53" t="s">
        <v>14</v>
      </c>
      <c r="C343" s="53" t="s">
        <v>32</v>
      </c>
      <c r="D343" s="53" t="s">
        <v>21</v>
      </c>
      <c r="E343" s="53" t="s">
        <v>29</v>
      </c>
      <c r="F343" s="54">
        <v>35796.639999999999</v>
      </c>
      <c r="G343" s="53">
        <v>536670</v>
      </c>
      <c r="H343" s="53">
        <v>1360</v>
      </c>
      <c r="I343" s="53">
        <v>1222</v>
      </c>
      <c r="J343" s="54">
        <v>49041.396800000002</v>
      </c>
      <c r="K343" s="55">
        <f t="shared" si="20"/>
        <v>0.37000000000000011</v>
      </c>
      <c r="L343" s="56">
        <f t="shared" si="21"/>
        <v>0.37000000000000011</v>
      </c>
      <c r="M343" s="56" t="str">
        <f t="shared" si="22"/>
        <v/>
      </c>
      <c r="N343" s="56" t="str">
        <f t="shared" si="23"/>
        <v>OK</v>
      </c>
      <c r="O343" s="2"/>
      <c r="P343" s="27"/>
      <c r="Q343" s="2"/>
      <c r="R343" s="2"/>
    </row>
    <row r="344" spans="1:18" x14ac:dyDescent="0.35">
      <c r="A344" s="53">
        <v>699</v>
      </c>
      <c r="B344" s="53" t="s">
        <v>14</v>
      </c>
      <c r="C344" s="53" t="s">
        <v>32</v>
      </c>
      <c r="D344" s="53" t="s">
        <v>21</v>
      </c>
      <c r="E344" s="53" t="s">
        <v>27</v>
      </c>
      <c r="F344" s="54">
        <v>15623.31</v>
      </c>
      <c r="G344" s="53">
        <v>662416</v>
      </c>
      <c r="H344" s="53">
        <v>9517</v>
      </c>
      <c r="I344" s="53">
        <v>354</v>
      </c>
      <c r="J344" s="54">
        <v>21403.934700000002</v>
      </c>
      <c r="K344" s="55">
        <f t="shared" si="20"/>
        <v>0.37000000000000016</v>
      </c>
      <c r="L344" s="56">
        <f t="shared" si="21"/>
        <v>0.37000000000000016</v>
      </c>
      <c r="M344" s="56" t="str">
        <f t="shared" si="22"/>
        <v/>
      </c>
      <c r="N344" s="56" t="str">
        <f t="shared" si="23"/>
        <v>OK</v>
      </c>
      <c r="O344" s="2"/>
      <c r="P344" s="27"/>
      <c r="Q344" s="2"/>
      <c r="R344" s="2"/>
    </row>
    <row r="345" spans="1:18" x14ac:dyDescent="0.35">
      <c r="A345" s="53">
        <v>985</v>
      </c>
      <c r="B345" s="53" t="s">
        <v>13</v>
      </c>
      <c r="C345" s="53" t="s">
        <v>32</v>
      </c>
      <c r="D345" s="53" t="s">
        <v>21</v>
      </c>
      <c r="E345" s="53" t="s">
        <v>26</v>
      </c>
      <c r="F345" s="54">
        <v>46049.98</v>
      </c>
      <c r="G345" s="53">
        <v>963244</v>
      </c>
      <c r="H345" s="53">
        <v>17099</v>
      </c>
      <c r="I345" s="53">
        <v>1401</v>
      </c>
      <c r="J345" s="54">
        <v>63548.972399999999</v>
      </c>
      <c r="K345" s="55">
        <f t="shared" si="20"/>
        <v>0.37999999999999989</v>
      </c>
      <c r="L345" s="56">
        <f t="shared" si="21"/>
        <v>0.37999999999999989</v>
      </c>
      <c r="M345" s="56" t="str">
        <f t="shared" si="22"/>
        <v/>
      </c>
      <c r="N345" s="56" t="str">
        <f t="shared" si="23"/>
        <v>OK</v>
      </c>
      <c r="O345" s="2"/>
      <c r="P345" s="27"/>
      <c r="Q345" s="2"/>
      <c r="R345" s="2"/>
    </row>
    <row r="346" spans="1:18" x14ac:dyDescent="0.35">
      <c r="A346" s="57">
        <v>228</v>
      </c>
      <c r="B346" s="57" t="s">
        <v>10</v>
      </c>
      <c r="C346" s="57" t="s">
        <v>31</v>
      </c>
      <c r="D346" s="57" t="s">
        <v>20</v>
      </c>
      <c r="E346" s="57" t="s">
        <v>25</v>
      </c>
      <c r="F346" s="58">
        <v>36280.39</v>
      </c>
      <c r="G346" s="57">
        <v>382282</v>
      </c>
      <c r="H346" s="57">
        <v>2042</v>
      </c>
      <c r="I346" s="57">
        <v>522</v>
      </c>
      <c r="J346" s="58">
        <v>50066.938199999997</v>
      </c>
      <c r="K346" s="55">
        <f t="shared" si="20"/>
        <v>0.37999999999999995</v>
      </c>
      <c r="L346" s="56" t="str">
        <f t="shared" si="21"/>
        <v/>
      </c>
      <c r="M346" s="56">
        <f t="shared" si="22"/>
        <v>0.37999999999999995</v>
      </c>
      <c r="N346" s="56" t="str">
        <f t="shared" si="23"/>
        <v>OK</v>
      </c>
      <c r="O346" s="2"/>
      <c r="P346" s="27"/>
      <c r="Q346" s="2"/>
      <c r="R346" s="2"/>
    </row>
    <row r="347" spans="1:18" x14ac:dyDescent="0.35">
      <c r="A347" s="57">
        <v>926</v>
      </c>
      <c r="B347" s="57" t="s">
        <v>9</v>
      </c>
      <c r="C347" s="57" t="s">
        <v>31</v>
      </c>
      <c r="D347" s="57" t="s">
        <v>20</v>
      </c>
      <c r="E347" s="57" t="s">
        <v>27</v>
      </c>
      <c r="F347" s="58">
        <v>27006.13</v>
      </c>
      <c r="G347" s="57">
        <v>780050</v>
      </c>
      <c r="H347" s="57">
        <v>10179</v>
      </c>
      <c r="I347" s="57">
        <v>1255</v>
      </c>
      <c r="J347" s="58">
        <v>37268.4594</v>
      </c>
      <c r="K347" s="55">
        <f t="shared" si="20"/>
        <v>0.37999999999999995</v>
      </c>
      <c r="L347" s="56" t="str">
        <f t="shared" si="21"/>
        <v/>
      </c>
      <c r="M347" s="56">
        <f t="shared" si="22"/>
        <v>0.37999999999999995</v>
      </c>
      <c r="N347" s="56" t="str">
        <f t="shared" si="23"/>
        <v>OK</v>
      </c>
      <c r="O347" s="2"/>
      <c r="P347" s="27"/>
      <c r="Q347" s="2"/>
      <c r="R347" s="2"/>
    </row>
    <row r="348" spans="1:18" x14ac:dyDescent="0.35">
      <c r="A348" s="53">
        <v>493</v>
      </c>
      <c r="B348" s="53" t="s">
        <v>11</v>
      </c>
      <c r="C348" s="53" t="s">
        <v>32</v>
      </c>
      <c r="D348" s="53" t="s">
        <v>21</v>
      </c>
      <c r="E348" s="53" t="s">
        <v>29</v>
      </c>
      <c r="F348" s="54">
        <v>20443.05</v>
      </c>
      <c r="G348" s="53">
        <v>271445</v>
      </c>
      <c r="H348" s="53">
        <v>9320</v>
      </c>
      <c r="I348" s="53">
        <v>146</v>
      </c>
      <c r="J348" s="54">
        <v>28211.409</v>
      </c>
      <c r="K348" s="55">
        <f t="shared" si="20"/>
        <v>0.38</v>
      </c>
      <c r="L348" s="56">
        <f t="shared" si="21"/>
        <v>0.38</v>
      </c>
      <c r="M348" s="56" t="str">
        <f t="shared" si="22"/>
        <v/>
      </c>
      <c r="N348" s="56" t="str">
        <f t="shared" si="23"/>
        <v>OK</v>
      </c>
      <c r="O348" s="2"/>
      <c r="P348" s="27"/>
      <c r="Q348" s="2"/>
      <c r="R348" s="2"/>
    </row>
    <row r="349" spans="1:18" x14ac:dyDescent="0.35">
      <c r="A349" s="57">
        <v>528</v>
      </c>
      <c r="B349" s="57" t="s">
        <v>14</v>
      </c>
      <c r="C349" s="57" t="s">
        <v>32</v>
      </c>
      <c r="D349" s="57" t="s">
        <v>18</v>
      </c>
      <c r="E349" s="57" t="s">
        <v>26</v>
      </c>
      <c r="F349" s="58">
        <v>5521.95</v>
      </c>
      <c r="G349" s="57">
        <v>862050</v>
      </c>
      <c r="H349" s="57">
        <v>9275</v>
      </c>
      <c r="I349" s="57">
        <v>1147</v>
      </c>
      <c r="J349" s="58">
        <v>7620.2910000000002</v>
      </c>
      <c r="K349" s="55">
        <f t="shared" si="20"/>
        <v>0.38000000000000006</v>
      </c>
      <c r="L349" s="56">
        <f t="shared" si="21"/>
        <v>0.38000000000000006</v>
      </c>
      <c r="M349" s="56" t="str">
        <f t="shared" si="22"/>
        <v/>
      </c>
      <c r="N349" s="56" t="str">
        <f t="shared" si="23"/>
        <v>OK</v>
      </c>
      <c r="O349" s="2"/>
      <c r="P349" s="27"/>
      <c r="Q349" s="2"/>
      <c r="R349" s="2"/>
    </row>
    <row r="350" spans="1:18" x14ac:dyDescent="0.35">
      <c r="A350" s="53">
        <v>271</v>
      </c>
      <c r="B350" s="53" t="s">
        <v>10</v>
      </c>
      <c r="C350" s="53" t="s">
        <v>31</v>
      </c>
      <c r="D350" s="53" t="s">
        <v>19</v>
      </c>
      <c r="E350" s="53" t="s">
        <v>26</v>
      </c>
      <c r="F350" s="54">
        <v>28073.17</v>
      </c>
      <c r="G350" s="53">
        <v>75942</v>
      </c>
      <c r="H350" s="53">
        <v>19266</v>
      </c>
      <c r="I350" s="53">
        <v>1562</v>
      </c>
      <c r="J350" s="54">
        <v>38740.974600000001</v>
      </c>
      <c r="K350" s="55">
        <f t="shared" si="20"/>
        <v>0.38000000000000012</v>
      </c>
      <c r="L350" s="56" t="str">
        <f t="shared" si="21"/>
        <v/>
      </c>
      <c r="M350" s="56">
        <f t="shared" si="22"/>
        <v>0.38000000000000012</v>
      </c>
      <c r="N350" s="56" t="str">
        <f t="shared" si="23"/>
        <v>OK</v>
      </c>
      <c r="O350" s="2"/>
      <c r="P350" s="27"/>
      <c r="Q350" s="2"/>
      <c r="R350" s="2"/>
    </row>
    <row r="351" spans="1:18" x14ac:dyDescent="0.35">
      <c r="A351" s="57">
        <v>554</v>
      </c>
      <c r="B351" s="57" t="s">
        <v>12</v>
      </c>
      <c r="C351" s="57" t="s">
        <v>32</v>
      </c>
      <c r="D351" s="57" t="s">
        <v>20</v>
      </c>
      <c r="E351" s="57" t="s">
        <v>27</v>
      </c>
      <c r="F351" s="58">
        <v>5135.2299999999996</v>
      </c>
      <c r="G351" s="57">
        <v>143498</v>
      </c>
      <c r="H351" s="57">
        <v>17068</v>
      </c>
      <c r="I351" s="57">
        <v>1883</v>
      </c>
      <c r="J351" s="58">
        <v>7086.6174000000001</v>
      </c>
      <c r="K351" s="55">
        <f t="shared" si="20"/>
        <v>0.38000000000000012</v>
      </c>
      <c r="L351" s="56">
        <f t="shared" si="21"/>
        <v>0.38000000000000012</v>
      </c>
      <c r="M351" s="56" t="str">
        <f t="shared" si="22"/>
        <v/>
      </c>
      <c r="N351" s="56" t="str">
        <f t="shared" si="23"/>
        <v>OK</v>
      </c>
      <c r="O351" s="2"/>
      <c r="P351" s="27"/>
      <c r="Q351" s="2"/>
      <c r="R351" s="2"/>
    </row>
    <row r="352" spans="1:18" x14ac:dyDescent="0.35">
      <c r="A352" s="57">
        <v>116</v>
      </c>
      <c r="B352" s="57" t="s">
        <v>12</v>
      </c>
      <c r="C352" s="57" t="s">
        <v>32</v>
      </c>
      <c r="D352" s="57" t="s">
        <v>20</v>
      </c>
      <c r="E352" s="57" t="s">
        <v>24</v>
      </c>
      <c r="F352" s="58">
        <v>20714.03</v>
      </c>
      <c r="G352" s="57">
        <v>973111</v>
      </c>
      <c r="H352" s="57">
        <v>11022</v>
      </c>
      <c r="I352" s="57">
        <v>1402</v>
      </c>
      <c r="J352" s="58">
        <v>28585.361400000002</v>
      </c>
      <c r="K352" s="55">
        <f t="shared" si="20"/>
        <v>0.38000000000000017</v>
      </c>
      <c r="L352" s="56">
        <f t="shared" si="21"/>
        <v>0.38000000000000017</v>
      </c>
      <c r="M352" s="56" t="str">
        <f t="shared" si="22"/>
        <v/>
      </c>
      <c r="N352" s="56" t="str">
        <f t="shared" si="23"/>
        <v>OK</v>
      </c>
      <c r="O352" s="2"/>
      <c r="P352" s="27"/>
      <c r="Q352" s="2"/>
      <c r="R352" s="2"/>
    </row>
    <row r="353" spans="1:18" x14ac:dyDescent="0.35">
      <c r="A353" s="57">
        <v>2</v>
      </c>
      <c r="B353" s="57" t="s">
        <v>12</v>
      </c>
      <c r="C353" s="57" t="s">
        <v>32</v>
      </c>
      <c r="D353" s="57" t="s">
        <v>18</v>
      </c>
      <c r="E353" s="57" t="s">
        <v>27</v>
      </c>
      <c r="F353" s="58">
        <v>4366.93</v>
      </c>
      <c r="G353" s="57">
        <v>984250</v>
      </c>
      <c r="H353" s="57">
        <v>19824</v>
      </c>
      <c r="I353" s="57">
        <v>1234</v>
      </c>
      <c r="J353" s="58">
        <v>6070.0326999999997</v>
      </c>
      <c r="K353" s="55">
        <f t="shared" si="20"/>
        <v>0.38999999999999985</v>
      </c>
      <c r="L353" s="56">
        <f t="shared" si="21"/>
        <v>0.38999999999999985</v>
      </c>
      <c r="M353" s="56" t="str">
        <f t="shared" si="22"/>
        <v/>
      </c>
      <c r="N353" s="56" t="str">
        <f t="shared" si="23"/>
        <v>OK</v>
      </c>
      <c r="O353" s="2"/>
      <c r="P353" s="27"/>
      <c r="Q353" s="2"/>
      <c r="R353" s="2"/>
    </row>
    <row r="354" spans="1:18" x14ac:dyDescent="0.35">
      <c r="A354" s="53">
        <v>465</v>
      </c>
      <c r="B354" s="53" t="s">
        <v>12</v>
      </c>
      <c r="C354" s="53" t="s">
        <v>32</v>
      </c>
      <c r="D354" s="53" t="s">
        <v>21</v>
      </c>
      <c r="E354" s="53" t="s">
        <v>26</v>
      </c>
      <c r="F354" s="54">
        <v>14306.87</v>
      </c>
      <c r="G354" s="53">
        <v>632006</v>
      </c>
      <c r="H354" s="53">
        <v>14430</v>
      </c>
      <c r="I354" s="53">
        <v>1401</v>
      </c>
      <c r="J354" s="54">
        <v>19886.549299999999</v>
      </c>
      <c r="K354" s="55">
        <f t="shared" si="20"/>
        <v>0.38999999999999985</v>
      </c>
      <c r="L354" s="56">
        <f t="shared" si="21"/>
        <v>0.38999999999999985</v>
      </c>
      <c r="M354" s="56" t="str">
        <f t="shared" si="22"/>
        <v/>
      </c>
      <c r="N354" s="56" t="str">
        <f t="shared" si="23"/>
        <v>OK</v>
      </c>
      <c r="O354" s="2"/>
      <c r="P354" s="27"/>
      <c r="Q354" s="2"/>
      <c r="R354" s="2"/>
    </row>
    <row r="355" spans="1:18" x14ac:dyDescent="0.35">
      <c r="A355" s="57">
        <v>426</v>
      </c>
      <c r="B355" s="57" t="s">
        <v>15</v>
      </c>
      <c r="C355" s="57" t="s">
        <v>32</v>
      </c>
      <c r="D355" s="57" t="s">
        <v>21</v>
      </c>
      <c r="E355" s="57" t="s">
        <v>26</v>
      </c>
      <c r="F355" s="58">
        <v>17679.89</v>
      </c>
      <c r="G355" s="57">
        <v>629064</v>
      </c>
      <c r="H355" s="57">
        <v>15298</v>
      </c>
      <c r="I355" s="57">
        <v>606</v>
      </c>
      <c r="J355" s="58">
        <v>24575.0471</v>
      </c>
      <c r="K355" s="55">
        <f t="shared" si="20"/>
        <v>0.39</v>
      </c>
      <c r="L355" s="56">
        <f t="shared" si="21"/>
        <v>0.39</v>
      </c>
      <c r="M355" s="56" t="str">
        <f t="shared" si="22"/>
        <v/>
      </c>
      <c r="N355" s="56" t="str">
        <f t="shared" si="23"/>
        <v>OK</v>
      </c>
      <c r="O355" s="2"/>
      <c r="P355" s="27"/>
      <c r="Q355" s="2"/>
      <c r="R355" s="2"/>
    </row>
    <row r="356" spans="1:18" x14ac:dyDescent="0.35">
      <c r="A356" s="57">
        <v>662</v>
      </c>
      <c r="B356" s="57" t="s">
        <v>9</v>
      </c>
      <c r="C356" s="57" t="s">
        <v>31</v>
      </c>
      <c r="D356" s="57" t="s">
        <v>17</v>
      </c>
      <c r="E356" s="57" t="s">
        <v>27</v>
      </c>
      <c r="F356" s="58">
        <v>30057.71</v>
      </c>
      <c r="G356" s="57">
        <v>631781</v>
      </c>
      <c r="H356" s="57">
        <v>17241</v>
      </c>
      <c r="I356" s="57">
        <v>1531</v>
      </c>
      <c r="J356" s="58">
        <v>41780.216899999999</v>
      </c>
      <c r="K356" s="55">
        <f t="shared" si="20"/>
        <v>0.39</v>
      </c>
      <c r="L356" s="56" t="str">
        <f t="shared" si="21"/>
        <v/>
      </c>
      <c r="M356" s="56">
        <f t="shared" si="22"/>
        <v>0.39</v>
      </c>
      <c r="N356" s="56" t="str">
        <f t="shared" si="23"/>
        <v>OK</v>
      </c>
      <c r="O356" s="2"/>
      <c r="P356" s="27"/>
      <c r="Q356" s="2"/>
      <c r="R356" s="2"/>
    </row>
    <row r="357" spans="1:18" x14ac:dyDescent="0.35">
      <c r="A357" s="57">
        <v>894</v>
      </c>
      <c r="B357" s="57" t="s">
        <v>15</v>
      </c>
      <c r="C357" s="57" t="s">
        <v>32</v>
      </c>
      <c r="D357" s="57" t="s">
        <v>21</v>
      </c>
      <c r="E357" s="57" t="s">
        <v>25</v>
      </c>
      <c r="F357" s="58">
        <v>4742.8599999999997</v>
      </c>
      <c r="G357" s="57">
        <v>708802</v>
      </c>
      <c r="H357" s="57">
        <v>16678</v>
      </c>
      <c r="I357" s="57">
        <v>1954</v>
      </c>
      <c r="J357" s="58">
        <v>6592.5753999999997</v>
      </c>
      <c r="K357" s="55">
        <f t="shared" si="20"/>
        <v>0.39</v>
      </c>
      <c r="L357" s="56">
        <f t="shared" si="21"/>
        <v>0.39</v>
      </c>
      <c r="M357" s="56" t="str">
        <f t="shared" si="22"/>
        <v/>
      </c>
      <c r="N357" s="56" t="str">
        <f t="shared" si="23"/>
        <v>OK</v>
      </c>
      <c r="O357" s="2"/>
      <c r="P357" s="27"/>
      <c r="Q357" s="2"/>
      <c r="R357" s="2"/>
    </row>
    <row r="358" spans="1:18" x14ac:dyDescent="0.35">
      <c r="A358" s="53">
        <v>941</v>
      </c>
      <c r="B358" s="53" t="s">
        <v>12</v>
      </c>
      <c r="C358" s="53" t="s">
        <v>32</v>
      </c>
      <c r="D358" s="53" t="s">
        <v>18</v>
      </c>
      <c r="E358" s="53" t="s">
        <v>29</v>
      </c>
      <c r="F358" s="54">
        <v>9030.17</v>
      </c>
      <c r="G358" s="53">
        <v>280170</v>
      </c>
      <c r="H358" s="53">
        <v>2272</v>
      </c>
      <c r="I358" s="53">
        <v>1233</v>
      </c>
      <c r="J358" s="54">
        <v>12642.237999999999</v>
      </c>
      <c r="K358" s="55">
        <f t="shared" si="20"/>
        <v>0.39999999999999991</v>
      </c>
      <c r="L358" s="56">
        <f t="shared" si="21"/>
        <v>0.39999999999999991</v>
      </c>
      <c r="M358" s="56" t="str">
        <f t="shared" si="22"/>
        <v/>
      </c>
      <c r="N358" s="56" t="str">
        <f t="shared" si="23"/>
        <v>OK</v>
      </c>
      <c r="O358" s="2"/>
      <c r="P358" s="27"/>
      <c r="Q358" s="2"/>
      <c r="R358" s="2"/>
    </row>
    <row r="359" spans="1:18" x14ac:dyDescent="0.35">
      <c r="A359" s="57">
        <v>428</v>
      </c>
      <c r="B359" s="57" t="s">
        <v>12</v>
      </c>
      <c r="C359" s="57" t="s">
        <v>32</v>
      </c>
      <c r="D359" s="57" t="s">
        <v>21</v>
      </c>
      <c r="E359" s="57" t="s">
        <v>29</v>
      </c>
      <c r="F359" s="58">
        <v>31682.63</v>
      </c>
      <c r="G359" s="57">
        <v>524265</v>
      </c>
      <c r="H359" s="57">
        <v>10755</v>
      </c>
      <c r="I359" s="57">
        <v>566</v>
      </c>
      <c r="J359" s="58">
        <v>44355.682000000001</v>
      </c>
      <c r="K359" s="55">
        <f t="shared" si="20"/>
        <v>0.39999999999999997</v>
      </c>
      <c r="L359" s="56">
        <f t="shared" si="21"/>
        <v>0.39999999999999997</v>
      </c>
      <c r="M359" s="56" t="str">
        <f t="shared" si="22"/>
        <v/>
      </c>
      <c r="N359" s="56" t="str">
        <f t="shared" si="23"/>
        <v>OK</v>
      </c>
      <c r="O359" s="2"/>
      <c r="P359" s="27"/>
      <c r="Q359" s="2"/>
      <c r="R359" s="2"/>
    </row>
    <row r="360" spans="1:18" x14ac:dyDescent="0.35">
      <c r="A360" s="57">
        <v>610</v>
      </c>
      <c r="B360" s="57" t="s">
        <v>13</v>
      </c>
      <c r="C360" s="57" t="s">
        <v>32</v>
      </c>
      <c r="D360" s="57" t="s">
        <v>20</v>
      </c>
      <c r="E360" s="57" t="s">
        <v>24</v>
      </c>
      <c r="F360" s="58">
        <v>21293.360000000001</v>
      </c>
      <c r="G360" s="57">
        <v>372441</v>
      </c>
      <c r="H360" s="57">
        <v>506</v>
      </c>
      <c r="I360" s="57">
        <v>1191</v>
      </c>
      <c r="J360" s="58">
        <v>29810.704000000002</v>
      </c>
      <c r="K360" s="55">
        <f t="shared" si="20"/>
        <v>0.4</v>
      </c>
      <c r="L360" s="56">
        <f t="shared" si="21"/>
        <v>0.4</v>
      </c>
      <c r="M360" s="56" t="str">
        <f t="shared" si="22"/>
        <v/>
      </c>
      <c r="N360" s="56" t="str">
        <f t="shared" si="23"/>
        <v>ERROR: Conversions &gt; Clicks</v>
      </c>
      <c r="O360" s="2"/>
      <c r="P360" s="27"/>
      <c r="Q360" s="2"/>
      <c r="R360" s="2"/>
    </row>
    <row r="361" spans="1:18" x14ac:dyDescent="0.35">
      <c r="A361" s="53">
        <v>217</v>
      </c>
      <c r="B361" s="53" t="s">
        <v>12</v>
      </c>
      <c r="C361" s="53" t="s">
        <v>32</v>
      </c>
      <c r="D361" s="53" t="s">
        <v>18</v>
      </c>
      <c r="E361" s="53" t="s">
        <v>27</v>
      </c>
      <c r="F361" s="54">
        <v>25229.58</v>
      </c>
      <c r="G361" s="53">
        <v>373898</v>
      </c>
      <c r="H361" s="53">
        <v>14213</v>
      </c>
      <c r="I361" s="53">
        <v>1202</v>
      </c>
      <c r="J361" s="54">
        <v>35573.707799999996</v>
      </c>
      <c r="K361" s="55">
        <f t="shared" si="20"/>
        <v>0.40999999999999975</v>
      </c>
      <c r="L361" s="56">
        <f t="shared" si="21"/>
        <v>0.40999999999999975</v>
      </c>
      <c r="M361" s="56" t="str">
        <f t="shared" si="22"/>
        <v/>
      </c>
      <c r="N361" s="56" t="str">
        <f t="shared" si="23"/>
        <v>OK</v>
      </c>
      <c r="O361" s="2"/>
      <c r="P361" s="27"/>
      <c r="Q361" s="2"/>
      <c r="R361" s="2"/>
    </row>
    <row r="362" spans="1:18" x14ac:dyDescent="0.35">
      <c r="A362" s="53">
        <v>569</v>
      </c>
      <c r="B362" s="53" t="s">
        <v>8</v>
      </c>
      <c r="C362" s="53" t="s">
        <v>31</v>
      </c>
      <c r="D362" s="53" t="s">
        <v>22</v>
      </c>
      <c r="E362" s="53" t="s">
        <v>26</v>
      </c>
      <c r="F362" s="54">
        <v>12087.68</v>
      </c>
      <c r="G362" s="53">
        <v>806710</v>
      </c>
      <c r="H362" s="53">
        <v>18988</v>
      </c>
      <c r="I362" s="53">
        <v>1070</v>
      </c>
      <c r="J362" s="54">
        <v>17043.628799999999</v>
      </c>
      <c r="K362" s="55">
        <f t="shared" si="20"/>
        <v>0.40999999999999986</v>
      </c>
      <c r="L362" s="56" t="str">
        <f t="shared" si="21"/>
        <v/>
      </c>
      <c r="M362" s="56">
        <f t="shared" si="22"/>
        <v>0.40999999999999986</v>
      </c>
      <c r="N362" s="56" t="str">
        <f t="shared" si="23"/>
        <v>OK</v>
      </c>
      <c r="O362" s="2"/>
      <c r="P362" s="27"/>
      <c r="Q362" s="2"/>
      <c r="R362" s="2"/>
    </row>
    <row r="363" spans="1:18" x14ac:dyDescent="0.35">
      <c r="A363" s="53">
        <v>331</v>
      </c>
      <c r="B363" s="53" t="s">
        <v>11</v>
      </c>
      <c r="C363" s="53" t="s">
        <v>32</v>
      </c>
      <c r="D363" s="53" t="s">
        <v>18</v>
      </c>
      <c r="E363" s="53" t="s">
        <v>28</v>
      </c>
      <c r="F363" s="54">
        <v>45992.19</v>
      </c>
      <c r="G363" s="53">
        <v>683984</v>
      </c>
      <c r="H363" s="53">
        <v>19269</v>
      </c>
      <c r="I363" s="53">
        <v>1735</v>
      </c>
      <c r="J363" s="54">
        <v>64848.9879</v>
      </c>
      <c r="K363" s="55">
        <f t="shared" si="20"/>
        <v>0.40999999999999992</v>
      </c>
      <c r="L363" s="56">
        <f t="shared" si="21"/>
        <v>0.40999999999999992</v>
      </c>
      <c r="M363" s="56" t="str">
        <f t="shared" si="22"/>
        <v/>
      </c>
      <c r="N363" s="56" t="str">
        <f t="shared" si="23"/>
        <v>OK</v>
      </c>
      <c r="O363" s="2"/>
      <c r="P363" s="27"/>
      <c r="Q363" s="2"/>
      <c r="R363" s="2"/>
    </row>
    <row r="364" spans="1:18" x14ac:dyDescent="0.35">
      <c r="A364" s="53">
        <v>653</v>
      </c>
      <c r="B364" s="53" t="s">
        <v>8</v>
      </c>
      <c r="C364" s="53" t="s">
        <v>31</v>
      </c>
      <c r="D364" s="53" t="s">
        <v>20</v>
      </c>
      <c r="E364" s="53" t="s">
        <v>27</v>
      </c>
      <c r="F364" s="54">
        <v>16965.330000000002</v>
      </c>
      <c r="G364" s="53">
        <v>165489</v>
      </c>
      <c r="H364" s="53">
        <v>4927</v>
      </c>
      <c r="I364" s="53">
        <v>1791</v>
      </c>
      <c r="J364" s="54">
        <v>23921.115300000001</v>
      </c>
      <c r="K364" s="55">
        <f t="shared" si="20"/>
        <v>0.40999999999999992</v>
      </c>
      <c r="L364" s="56" t="str">
        <f t="shared" si="21"/>
        <v/>
      </c>
      <c r="M364" s="56">
        <f t="shared" si="22"/>
        <v>0.40999999999999992</v>
      </c>
      <c r="N364" s="56" t="str">
        <f t="shared" si="23"/>
        <v>OK</v>
      </c>
      <c r="O364" s="2"/>
      <c r="P364" s="27"/>
      <c r="Q364" s="2"/>
      <c r="R364" s="2"/>
    </row>
    <row r="365" spans="1:18" x14ac:dyDescent="0.35">
      <c r="A365" s="57">
        <v>788</v>
      </c>
      <c r="B365" s="57" t="s">
        <v>13</v>
      </c>
      <c r="C365" s="57" t="s">
        <v>32</v>
      </c>
      <c r="D365" s="57" t="s">
        <v>17</v>
      </c>
      <c r="E365" s="57" t="s">
        <v>24</v>
      </c>
      <c r="F365" s="58">
        <v>8772.58</v>
      </c>
      <c r="G365" s="57">
        <v>973817</v>
      </c>
      <c r="H365" s="57">
        <v>13279</v>
      </c>
      <c r="I365" s="57">
        <v>1644</v>
      </c>
      <c r="J365" s="58">
        <v>12369.337799999999</v>
      </c>
      <c r="K365" s="55">
        <f t="shared" si="20"/>
        <v>0.40999999999999992</v>
      </c>
      <c r="L365" s="56">
        <f t="shared" si="21"/>
        <v>0.40999999999999992</v>
      </c>
      <c r="M365" s="56" t="str">
        <f t="shared" si="22"/>
        <v/>
      </c>
      <c r="N365" s="56" t="str">
        <f t="shared" si="23"/>
        <v>OK</v>
      </c>
      <c r="O365" s="2"/>
      <c r="P365" s="27"/>
      <c r="Q365" s="2"/>
      <c r="R365" s="2"/>
    </row>
    <row r="366" spans="1:18" x14ac:dyDescent="0.35">
      <c r="A366" s="53">
        <v>305</v>
      </c>
      <c r="B366" s="53" t="s">
        <v>14</v>
      </c>
      <c r="C366" s="53" t="s">
        <v>32</v>
      </c>
      <c r="D366" s="53" t="s">
        <v>22</v>
      </c>
      <c r="E366" s="53" t="s">
        <v>25</v>
      </c>
      <c r="F366" s="54">
        <v>41198.5</v>
      </c>
      <c r="G366" s="53">
        <v>306063</v>
      </c>
      <c r="H366" s="53">
        <v>14659</v>
      </c>
      <c r="I366" s="53">
        <v>1697</v>
      </c>
      <c r="J366" s="54">
        <v>58089.885000000002</v>
      </c>
      <c r="K366" s="55">
        <f t="shared" si="20"/>
        <v>0.41000000000000003</v>
      </c>
      <c r="L366" s="56">
        <f t="shared" si="21"/>
        <v>0.41000000000000003</v>
      </c>
      <c r="M366" s="56" t="str">
        <f t="shared" si="22"/>
        <v/>
      </c>
      <c r="N366" s="56" t="str">
        <f t="shared" si="23"/>
        <v>OK</v>
      </c>
      <c r="O366" s="2"/>
      <c r="P366" s="27"/>
      <c r="Q366" s="2"/>
      <c r="R366" s="2"/>
    </row>
    <row r="367" spans="1:18" x14ac:dyDescent="0.35">
      <c r="A367" s="53">
        <v>109</v>
      </c>
      <c r="B367" s="53" t="s">
        <v>10</v>
      </c>
      <c r="C367" s="53" t="s">
        <v>31</v>
      </c>
      <c r="D367" s="53" t="s">
        <v>20</v>
      </c>
      <c r="E367" s="53" t="s">
        <v>29</v>
      </c>
      <c r="F367" s="54">
        <v>33489.06</v>
      </c>
      <c r="G367" s="53">
        <v>76668</v>
      </c>
      <c r="H367" s="53">
        <v>13619</v>
      </c>
      <c r="I367" s="53">
        <v>436</v>
      </c>
      <c r="J367" s="54">
        <v>47554.465199999999</v>
      </c>
      <c r="K367" s="55">
        <f t="shared" si="20"/>
        <v>0.42000000000000004</v>
      </c>
      <c r="L367" s="56" t="str">
        <f t="shared" si="21"/>
        <v/>
      </c>
      <c r="M367" s="56">
        <f t="shared" si="22"/>
        <v>0.42000000000000004</v>
      </c>
      <c r="N367" s="56" t="str">
        <f t="shared" si="23"/>
        <v>OK</v>
      </c>
      <c r="O367" s="2"/>
      <c r="P367" s="27"/>
      <c r="Q367" s="2"/>
      <c r="R367" s="2"/>
    </row>
    <row r="368" spans="1:18" x14ac:dyDescent="0.35">
      <c r="A368" s="57">
        <v>546</v>
      </c>
      <c r="B368" s="57" t="s">
        <v>13</v>
      </c>
      <c r="C368" s="57" t="s">
        <v>32</v>
      </c>
      <c r="D368" s="57" t="s">
        <v>17</v>
      </c>
      <c r="E368" s="57" t="s">
        <v>29</v>
      </c>
      <c r="F368" s="58">
        <v>37308.080000000002</v>
      </c>
      <c r="G368" s="57">
        <v>716291</v>
      </c>
      <c r="H368" s="57">
        <v>4768</v>
      </c>
      <c r="I368" s="57">
        <v>572</v>
      </c>
      <c r="J368" s="58">
        <v>53350.554400000001</v>
      </c>
      <c r="K368" s="55">
        <f t="shared" si="20"/>
        <v>0.42999999999999994</v>
      </c>
      <c r="L368" s="56">
        <f t="shared" si="21"/>
        <v>0.42999999999999994</v>
      </c>
      <c r="M368" s="56" t="str">
        <f t="shared" si="22"/>
        <v/>
      </c>
      <c r="N368" s="56" t="str">
        <f t="shared" si="23"/>
        <v>OK</v>
      </c>
      <c r="O368" s="2"/>
      <c r="P368" s="27"/>
      <c r="Q368" s="2"/>
      <c r="R368" s="2"/>
    </row>
    <row r="369" spans="1:18" x14ac:dyDescent="0.35">
      <c r="A369" s="57">
        <v>482</v>
      </c>
      <c r="B369" s="57" t="s">
        <v>10</v>
      </c>
      <c r="C369" s="57" t="s">
        <v>31</v>
      </c>
      <c r="D369" s="57" t="s">
        <v>21</v>
      </c>
      <c r="E369" s="57" t="s">
        <v>25</v>
      </c>
      <c r="F369" s="58">
        <v>24240.13</v>
      </c>
      <c r="G369" s="57">
        <v>946737</v>
      </c>
      <c r="H369" s="57">
        <v>11088</v>
      </c>
      <c r="I369" s="57">
        <v>667</v>
      </c>
      <c r="J369" s="58">
        <v>34663.385900000001</v>
      </c>
      <c r="K369" s="55">
        <f t="shared" si="20"/>
        <v>0.43</v>
      </c>
      <c r="L369" s="56" t="str">
        <f t="shared" si="21"/>
        <v/>
      </c>
      <c r="M369" s="56">
        <f t="shared" si="22"/>
        <v>0.43</v>
      </c>
      <c r="N369" s="56" t="str">
        <f t="shared" si="23"/>
        <v>OK</v>
      </c>
      <c r="O369" s="2"/>
      <c r="P369" s="27"/>
      <c r="Q369" s="2"/>
      <c r="R369" s="2"/>
    </row>
    <row r="370" spans="1:18" x14ac:dyDescent="0.35">
      <c r="A370" s="57">
        <v>208</v>
      </c>
      <c r="B370" s="57" t="s">
        <v>12</v>
      </c>
      <c r="C370" s="57" t="s">
        <v>32</v>
      </c>
      <c r="D370" s="57" t="s">
        <v>20</v>
      </c>
      <c r="E370" s="57" t="s">
        <v>25</v>
      </c>
      <c r="F370" s="58">
        <v>12602.43</v>
      </c>
      <c r="G370" s="57">
        <v>678516</v>
      </c>
      <c r="H370" s="57">
        <v>15727</v>
      </c>
      <c r="I370" s="57">
        <v>1353</v>
      </c>
      <c r="J370" s="58">
        <v>18147.499199999998</v>
      </c>
      <c r="K370" s="55">
        <f t="shared" si="20"/>
        <v>0.43999999999999984</v>
      </c>
      <c r="L370" s="56">
        <f t="shared" si="21"/>
        <v>0.43999999999999984</v>
      </c>
      <c r="M370" s="56" t="str">
        <f t="shared" si="22"/>
        <v/>
      </c>
      <c r="N370" s="56" t="str">
        <f t="shared" si="23"/>
        <v>OK</v>
      </c>
      <c r="O370" s="2"/>
      <c r="P370" s="27"/>
      <c r="Q370" s="2"/>
      <c r="R370" s="2"/>
    </row>
    <row r="371" spans="1:18" x14ac:dyDescent="0.35">
      <c r="A371" s="57">
        <v>602</v>
      </c>
      <c r="B371" s="57" t="s">
        <v>13</v>
      </c>
      <c r="C371" s="57" t="s">
        <v>32</v>
      </c>
      <c r="D371" s="57" t="s">
        <v>17</v>
      </c>
      <c r="E371" s="57" t="s">
        <v>25</v>
      </c>
      <c r="F371" s="58">
        <v>48629.24</v>
      </c>
      <c r="G371" s="57">
        <v>987534</v>
      </c>
      <c r="H371" s="57">
        <v>13042</v>
      </c>
      <c r="I371" s="57">
        <v>672</v>
      </c>
      <c r="J371" s="58">
        <v>70026.105599999995</v>
      </c>
      <c r="K371" s="55">
        <f t="shared" si="20"/>
        <v>0.43999999999999995</v>
      </c>
      <c r="L371" s="56">
        <f t="shared" si="21"/>
        <v>0.43999999999999995</v>
      </c>
      <c r="M371" s="56" t="str">
        <f t="shared" si="22"/>
        <v/>
      </c>
      <c r="N371" s="56" t="str">
        <f t="shared" si="23"/>
        <v>OK</v>
      </c>
      <c r="O371" s="2"/>
      <c r="P371" s="27"/>
      <c r="Q371" s="2"/>
      <c r="R371" s="2"/>
    </row>
    <row r="372" spans="1:18" x14ac:dyDescent="0.35">
      <c r="A372" s="53">
        <v>45</v>
      </c>
      <c r="B372" s="53" t="s">
        <v>12</v>
      </c>
      <c r="C372" s="53" t="s">
        <v>32</v>
      </c>
      <c r="D372" s="53" t="s">
        <v>17</v>
      </c>
      <c r="E372" s="53" t="s">
        <v>24</v>
      </c>
      <c r="F372" s="54">
        <v>27656.81</v>
      </c>
      <c r="G372" s="53">
        <v>428458</v>
      </c>
      <c r="H372" s="53">
        <v>5033</v>
      </c>
      <c r="I372" s="53">
        <v>17</v>
      </c>
      <c r="J372" s="54">
        <v>39825.806400000001</v>
      </c>
      <c r="K372" s="55">
        <f t="shared" si="20"/>
        <v>0.44</v>
      </c>
      <c r="L372" s="56">
        <f t="shared" si="21"/>
        <v>0.44</v>
      </c>
      <c r="M372" s="56" t="str">
        <f t="shared" si="22"/>
        <v/>
      </c>
      <c r="N372" s="56" t="str">
        <f t="shared" si="23"/>
        <v>OK</v>
      </c>
      <c r="O372" s="2"/>
      <c r="P372" s="27"/>
      <c r="Q372" s="2"/>
      <c r="R372" s="2"/>
    </row>
    <row r="373" spans="1:18" x14ac:dyDescent="0.35">
      <c r="A373" s="53">
        <v>411</v>
      </c>
      <c r="B373" s="53" t="s">
        <v>9</v>
      </c>
      <c r="C373" s="53" t="s">
        <v>31</v>
      </c>
      <c r="D373" s="53" t="s">
        <v>20</v>
      </c>
      <c r="E373" s="53" t="s">
        <v>26</v>
      </c>
      <c r="F373" s="54">
        <v>6892.11</v>
      </c>
      <c r="G373" s="53">
        <v>877918</v>
      </c>
      <c r="H373" s="53">
        <v>9359</v>
      </c>
      <c r="I373" s="53">
        <v>1551</v>
      </c>
      <c r="J373" s="54">
        <v>9924.6383999999998</v>
      </c>
      <c r="K373" s="55">
        <f t="shared" si="20"/>
        <v>0.44000000000000006</v>
      </c>
      <c r="L373" s="56" t="str">
        <f t="shared" si="21"/>
        <v/>
      </c>
      <c r="M373" s="56">
        <f t="shared" si="22"/>
        <v>0.44000000000000006</v>
      </c>
      <c r="N373" s="56" t="str">
        <f t="shared" si="23"/>
        <v>OK</v>
      </c>
      <c r="O373" s="2"/>
      <c r="P373" s="27"/>
      <c r="Q373" s="2"/>
      <c r="R373" s="2"/>
    </row>
    <row r="374" spans="1:18" x14ac:dyDescent="0.35">
      <c r="A374" s="53">
        <v>289</v>
      </c>
      <c r="B374" s="53" t="s">
        <v>11</v>
      </c>
      <c r="C374" s="53" t="s">
        <v>32</v>
      </c>
      <c r="D374" s="53" t="s">
        <v>17</v>
      </c>
      <c r="E374" s="53" t="s">
        <v>26</v>
      </c>
      <c r="F374" s="54">
        <v>32491.06</v>
      </c>
      <c r="G374" s="53">
        <v>404754</v>
      </c>
      <c r="H374" s="53">
        <v>7224</v>
      </c>
      <c r="I374" s="53">
        <v>1123</v>
      </c>
      <c r="J374" s="54">
        <v>47112.036999999997</v>
      </c>
      <c r="K374" s="55">
        <f t="shared" si="20"/>
        <v>0.44999999999999984</v>
      </c>
      <c r="L374" s="56">
        <f t="shared" si="21"/>
        <v>0.44999999999999984</v>
      </c>
      <c r="M374" s="56" t="str">
        <f t="shared" si="22"/>
        <v/>
      </c>
      <c r="N374" s="56" t="str">
        <f t="shared" si="23"/>
        <v>OK</v>
      </c>
      <c r="O374" s="2"/>
      <c r="P374" s="27"/>
      <c r="Q374" s="2"/>
      <c r="R374" s="2"/>
    </row>
    <row r="375" spans="1:18" x14ac:dyDescent="0.35">
      <c r="A375" s="53">
        <v>755</v>
      </c>
      <c r="B375" s="53" t="s">
        <v>14</v>
      </c>
      <c r="C375" s="53" t="s">
        <v>32</v>
      </c>
      <c r="D375" s="53" t="s">
        <v>20</v>
      </c>
      <c r="E375" s="53" t="s">
        <v>29</v>
      </c>
      <c r="F375" s="54">
        <v>33675.870000000003</v>
      </c>
      <c r="G375" s="53">
        <v>33199</v>
      </c>
      <c r="H375" s="53">
        <v>13934</v>
      </c>
      <c r="I375" s="53">
        <v>1242</v>
      </c>
      <c r="J375" s="54">
        <v>48830.011500000001</v>
      </c>
      <c r="K375" s="55">
        <f t="shared" si="20"/>
        <v>0.4499999999999999</v>
      </c>
      <c r="L375" s="56">
        <f t="shared" si="21"/>
        <v>0.4499999999999999</v>
      </c>
      <c r="M375" s="56" t="str">
        <f t="shared" si="22"/>
        <v/>
      </c>
      <c r="N375" s="56" t="str">
        <f t="shared" si="23"/>
        <v>OK</v>
      </c>
      <c r="O375" s="2"/>
      <c r="P375" s="27"/>
      <c r="Q375" s="2"/>
      <c r="R375" s="2"/>
    </row>
    <row r="376" spans="1:18" x14ac:dyDescent="0.35">
      <c r="A376" s="53">
        <v>417</v>
      </c>
      <c r="B376" s="53" t="s">
        <v>15</v>
      </c>
      <c r="C376" s="53" t="s">
        <v>32</v>
      </c>
      <c r="D376" s="53" t="s">
        <v>17</v>
      </c>
      <c r="E376" s="53" t="s">
        <v>24</v>
      </c>
      <c r="F376" s="54">
        <v>41402.21</v>
      </c>
      <c r="G376" s="53">
        <v>132332</v>
      </c>
      <c r="H376" s="53">
        <v>1906</v>
      </c>
      <c r="I376" s="53">
        <v>1180</v>
      </c>
      <c r="J376" s="54">
        <v>60033.2045</v>
      </c>
      <c r="K376" s="55">
        <f t="shared" si="20"/>
        <v>0.45</v>
      </c>
      <c r="L376" s="56">
        <f t="shared" si="21"/>
        <v>0.45</v>
      </c>
      <c r="M376" s="56" t="str">
        <f t="shared" si="22"/>
        <v/>
      </c>
      <c r="N376" s="56" t="str">
        <f t="shared" si="23"/>
        <v>OK</v>
      </c>
      <c r="O376" s="2"/>
      <c r="P376" s="27"/>
      <c r="Q376" s="2"/>
      <c r="R376" s="2"/>
    </row>
    <row r="377" spans="1:18" x14ac:dyDescent="0.35">
      <c r="A377" s="53">
        <v>499</v>
      </c>
      <c r="B377" s="53" t="s">
        <v>11</v>
      </c>
      <c r="C377" s="53" t="s">
        <v>32</v>
      </c>
      <c r="D377" s="53" t="s">
        <v>20</v>
      </c>
      <c r="E377" s="53" t="s">
        <v>29</v>
      </c>
      <c r="F377" s="54">
        <v>27048.37</v>
      </c>
      <c r="G377" s="53">
        <v>290833</v>
      </c>
      <c r="H377" s="53">
        <v>12492</v>
      </c>
      <c r="I377" s="53">
        <v>1101</v>
      </c>
      <c r="J377" s="54">
        <v>39220.136500000001</v>
      </c>
      <c r="K377" s="55">
        <f t="shared" si="20"/>
        <v>0.45000000000000007</v>
      </c>
      <c r="L377" s="56">
        <f t="shared" si="21"/>
        <v>0.45000000000000007</v>
      </c>
      <c r="M377" s="56" t="str">
        <f t="shared" si="22"/>
        <v/>
      </c>
      <c r="N377" s="56" t="str">
        <f t="shared" si="23"/>
        <v>OK</v>
      </c>
      <c r="O377" s="2"/>
      <c r="P377" s="27"/>
      <c r="Q377" s="2"/>
      <c r="R377" s="2"/>
    </row>
    <row r="378" spans="1:18" x14ac:dyDescent="0.35">
      <c r="A378" s="57">
        <v>378</v>
      </c>
      <c r="B378" s="57" t="s">
        <v>11</v>
      </c>
      <c r="C378" s="57" t="s">
        <v>32</v>
      </c>
      <c r="D378" s="57" t="s">
        <v>18</v>
      </c>
      <c r="E378" s="57" t="s">
        <v>29</v>
      </c>
      <c r="F378" s="58">
        <v>40562.410000000003</v>
      </c>
      <c r="G378" s="57">
        <v>255300</v>
      </c>
      <c r="H378" s="57">
        <v>8447</v>
      </c>
      <c r="I378" s="57">
        <v>1445</v>
      </c>
      <c r="J378" s="58">
        <v>59221.118600000002</v>
      </c>
      <c r="K378" s="55">
        <f t="shared" si="20"/>
        <v>0.45999999999999991</v>
      </c>
      <c r="L378" s="56">
        <f t="shared" si="21"/>
        <v>0.45999999999999991</v>
      </c>
      <c r="M378" s="56" t="str">
        <f t="shared" si="22"/>
        <v/>
      </c>
      <c r="N378" s="56" t="str">
        <f t="shared" si="23"/>
        <v>OK</v>
      </c>
      <c r="O378" s="2"/>
      <c r="P378" s="27"/>
      <c r="Q378" s="2"/>
      <c r="R378" s="2"/>
    </row>
    <row r="379" spans="1:18" x14ac:dyDescent="0.35">
      <c r="A379" s="57">
        <v>386</v>
      </c>
      <c r="B379" s="57" t="s">
        <v>13</v>
      </c>
      <c r="C379" s="57" t="s">
        <v>32</v>
      </c>
      <c r="D379" s="57" t="s">
        <v>21</v>
      </c>
      <c r="E379" s="57" t="s">
        <v>26</v>
      </c>
      <c r="F379" s="58">
        <v>19595.64</v>
      </c>
      <c r="G379" s="57">
        <v>526612</v>
      </c>
      <c r="H379" s="57">
        <v>19841</v>
      </c>
      <c r="I379" s="57">
        <v>438</v>
      </c>
      <c r="J379" s="58">
        <v>28609.634399999999</v>
      </c>
      <c r="K379" s="55">
        <f t="shared" si="20"/>
        <v>0.46</v>
      </c>
      <c r="L379" s="56">
        <f t="shared" si="21"/>
        <v>0.46</v>
      </c>
      <c r="M379" s="56" t="str">
        <f t="shared" si="22"/>
        <v/>
      </c>
      <c r="N379" s="56" t="str">
        <f t="shared" si="23"/>
        <v>OK</v>
      </c>
      <c r="O379" s="2"/>
      <c r="P379" s="27"/>
      <c r="Q379" s="2"/>
      <c r="R379" s="2"/>
    </row>
    <row r="380" spans="1:18" x14ac:dyDescent="0.35">
      <c r="A380" s="53">
        <v>307</v>
      </c>
      <c r="B380" s="53" t="s">
        <v>12</v>
      </c>
      <c r="C380" s="53" t="s">
        <v>32</v>
      </c>
      <c r="D380" s="53" t="s">
        <v>19</v>
      </c>
      <c r="E380" s="53" t="s">
        <v>27</v>
      </c>
      <c r="F380" s="54">
        <v>40131.07</v>
      </c>
      <c r="G380" s="53">
        <v>343713</v>
      </c>
      <c r="H380" s="53">
        <v>2635</v>
      </c>
      <c r="I380" s="53">
        <v>28</v>
      </c>
      <c r="J380" s="54">
        <v>58591.362200000003</v>
      </c>
      <c r="K380" s="55">
        <f t="shared" si="20"/>
        <v>0.46000000000000008</v>
      </c>
      <c r="L380" s="56">
        <f t="shared" si="21"/>
        <v>0.46000000000000008</v>
      </c>
      <c r="M380" s="56" t="str">
        <f t="shared" si="22"/>
        <v/>
      </c>
      <c r="N380" s="56" t="str">
        <f t="shared" si="23"/>
        <v>OK</v>
      </c>
      <c r="O380" s="2"/>
      <c r="P380" s="27"/>
      <c r="Q380" s="2"/>
      <c r="R380" s="2"/>
    </row>
    <row r="381" spans="1:18" x14ac:dyDescent="0.35">
      <c r="A381" s="57">
        <v>720</v>
      </c>
      <c r="B381" s="57" t="s">
        <v>12</v>
      </c>
      <c r="C381" s="57" t="s">
        <v>32</v>
      </c>
      <c r="D381" s="57" t="s">
        <v>20</v>
      </c>
      <c r="E381" s="57" t="s">
        <v>25</v>
      </c>
      <c r="F381" s="58">
        <v>10831.9</v>
      </c>
      <c r="G381" s="57">
        <v>994240</v>
      </c>
      <c r="H381" s="57">
        <v>14291</v>
      </c>
      <c r="I381" s="57">
        <v>1435</v>
      </c>
      <c r="J381" s="58">
        <v>15814.574000000001</v>
      </c>
      <c r="K381" s="55">
        <f t="shared" si="20"/>
        <v>0.46000000000000008</v>
      </c>
      <c r="L381" s="56">
        <f t="shared" si="21"/>
        <v>0.46000000000000008</v>
      </c>
      <c r="M381" s="56" t="str">
        <f t="shared" si="22"/>
        <v/>
      </c>
      <c r="N381" s="56" t="str">
        <f t="shared" si="23"/>
        <v>OK</v>
      </c>
      <c r="O381" s="2"/>
      <c r="P381" s="27"/>
      <c r="Q381" s="2"/>
      <c r="R381" s="2"/>
    </row>
    <row r="382" spans="1:18" x14ac:dyDescent="0.35">
      <c r="A382" s="57">
        <v>876</v>
      </c>
      <c r="B382" s="57" t="s">
        <v>9</v>
      </c>
      <c r="C382" s="57" t="s">
        <v>31</v>
      </c>
      <c r="D382" s="57" t="s">
        <v>19</v>
      </c>
      <c r="E382" s="57" t="s">
        <v>28</v>
      </c>
      <c r="F382" s="58">
        <v>35759.769999999997</v>
      </c>
      <c r="G382" s="57">
        <v>578242</v>
      </c>
      <c r="H382" s="57">
        <v>13821</v>
      </c>
      <c r="I382" s="57">
        <v>241</v>
      </c>
      <c r="J382" s="58">
        <v>52209.264199999998</v>
      </c>
      <c r="K382" s="55">
        <f t="shared" si="20"/>
        <v>0.46000000000000008</v>
      </c>
      <c r="L382" s="56" t="str">
        <f t="shared" si="21"/>
        <v/>
      </c>
      <c r="M382" s="56">
        <f t="shared" si="22"/>
        <v>0.46000000000000008</v>
      </c>
      <c r="N382" s="56" t="str">
        <f t="shared" si="23"/>
        <v>OK</v>
      </c>
      <c r="O382" s="2"/>
      <c r="P382" s="27"/>
      <c r="Q382" s="2"/>
      <c r="R382" s="2"/>
    </row>
    <row r="383" spans="1:18" x14ac:dyDescent="0.35">
      <c r="A383" s="57">
        <v>278</v>
      </c>
      <c r="B383" s="57" t="s">
        <v>10</v>
      </c>
      <c r="C383" s="57" t="s">
        <v>31</v>
      </c>
      <c r="D383" s="57" t="s">
        <v>22</v>
      </c>
      <c r="E383" s="57" t="s">
        <v>28</v>
      </c>
      <c r="F383" s="58">
        <v>23133.14</v>
      </c>
      <c r="G383" s="57">
        <v>423089</v>
      </c>
      <c r="H383" s="57">
        <v>787</v>
      </c>
      <c r="I383" s="57">
        <v>1677</v>
      </c>
      <c r="J383" s="58">
        <v>33774.384400000003</v>
      </c>
      <c r="K383" s="55">
        <f t="shared" si="20"/>
        <v>0.46000000000000013</v>
      </c>
      <c r="L383" s="56" t="str">
        <f t="shared" si="21"/>
        <v/>
      </c>
      <c r="M383" s="56">
        <f t="shared" si="22"/>
        <v>0.46000000000000013</v>
      </c>
      <c r="N383" s="56" t="str">
        <f t="shared" si="23"/>
        <v>ERROR: Conversions &gt; Clicks</v>
      </c>
      <c r="O383" s="2"/>
      <c r="P383" s="27"/>
      <c r="Q383" s="2"/>
      <c r="R383" s="2"/>
    </row>
    <row r="384" spans="1:18" x14ac:dyDescent="0.35">
      <c r="A384" s="53">
        <v>423</v>
      </c>
      <c r="B384" s="53" t="s">
        <v>10</v>
      </c>
      <c r="C384" s="53" t="s">
        <v>31</v>
      </c>
      <c r="D384" s="53" t="s">
        <v>19</v>
      </c>
      <c r="E384" s="53" t="s">
        <v>24</v>
      </c>
      <c r="F384" s="54">
        <v>43984.73</v>
      </c>
      <c r="G384" s="53">
        <v>483918</v>
      </c>
      <c r="H384" s="53">
        <v>3403</v>
      </c>
      <c r="I384" s="53">
        <v>184</v>
      </c>
      <c r="J384" s="54">
        <v>64657.553099999997</v>
      </c>
      <c r="K384" s="55">
        <f t="shared" si="20"/>
        <v>0.46999999999999981</v>
      </c>
      <c r="L384" s="56" t="str">
        <f t="shared" si="21"/>
        <v/>
      </c>
      <c r="M384" s="56">
        <f t="shared" si="22"/>
        <v>0.46999999999999981</v>
      </c>
      <c r="N384" s="56" t="str">
        <f t="shared" si="23"/>
        <v>OK</v>
      </c>
      <c r="O384" s="2"/>
      <c r="P384" s="27"/>
      <c r="Q384" s="2"/>
      <c r="R384" s="2"/>
    </row>
    <row r="385" spans="1:18" x14ac:dyDescent="0.35">
      <c r="A385" s="53">
        <v>961</v>
      </c>
      <c r="B385" s="53" t="s">
        <v>11</v>
      </c>
      <c r="C385" s="53" t="s">
        <v>32</v>
      </c>
      <c r="D385" s="53" t="s">
        <v>17</v>
      </c>
      <c r="E385" s="53" t="s">
        <v>29</v>
      </c>
      <c r="F385" s="54">
        <v>31424.52</v>
      </c>
      <c r="G385" s="53">
        <v>944137</v>
      </c>
      <c r="H385" s="53">
        <v>8486</v>
      </c>
      <c r="I385" s="53">
        <v>852</v>
      </c>
      <c r="J385" s="54">
        <v>46194.044399999999</v>
      </c>
      <c r="K385" s="55">
        <f t="shared" si="20"/>
        <v>0.46999999999999992</v>
      </c>
      <c r="L385" s="56">
        <f t="shared" si="21"/>
        <v>0.46999999999999992</v>
      </c>
      <c r="M385" s="56" t="str">
        <f t="shared" si="22"/>
        <v/>
      </c>
      <c r="N385" s="56" t="str">
        <f t="shared" si="23"/>
        <v>OK</v>
      </c>
      <c r="O385" s="2"/>
      <c r="P385" s="27"/>
      <c r="Q385" s="2"/>
      <c r="R385" s="2"/>
    </row>
    <row r="386" spans="1:18" x14ac:dyDescent="0.35">
      <c r="A386" s="57">
        <v>292</v>
      </c>
      <c r="B386" s="57" t="s">
        <v>9</v>
      </c>
      <c r="C386" s="57" t="s">
        <v>31</v>
      </c>
      <c r="D386" s="57" t="s">
        <v>22</v>
      </c>
      <c r="E386" s="57" t="s">
        <v>26</v>
      </c>
      <c r="F386" s="58">
        <v>26489.34</v>
      </c>
      <c r="G386" s="57">
        <v>35675</v>
      </c>
      <c r="H386" s="57">
        <v>14636</v>
      </c>
      <c r="I386" s="57">
        <v>1488</v>
      </c>
      <c r="J386" s="58">
        <v>38939.3298</v>
      </c>
      <c r="K386" s="55">
        <f t="shared" ref="K386:K449" si="24">(J386-F386)/F386</f>
        <v>0.47</v>
      </c>
      <c r="L386" s="56" t="str">
        <f t="shared" ref="L386:L449" si="25">IF(C386="Digital",K386,"")</f>
        <v/>
      </c>
      <c r="M386" s="56">
        <f t="shared" ref="M386:M449" si="26">IF(C386="Traditional",K386,"")</f>
        <v>0.47</v>
      </c>
      <c r="N386" s="56" t="str">
        <f t="shared" ref="N386:N449" si="27">IF(H386&gt;G386,"ERROR: Clicks &gt; Impressions",IF(I386&gt;H386,"ERROR: Conversions &gt; Clicks","OK"))</f>
        <v>OK</v>
      </c>
      <c r="O386" s="2"/>
      <c r="P386" s="27"/>
      <c r="Q386" s="2"/>
      <c r="R386" s="2"/>
    </row>
    <row r="387" spans="1:18" x14ac:dyDescent="0.35">
      <c r="A387" s="53">
        <v>761</v>
      </c>
      <c r="B387" s="53" t="s">
        <v>12</v>
      </c>
      <c r="C387" s="53" t="s">
        <v>32</v>
      </c>
      <c r="D387" s="53" t="s">
        <v>21</v>
      </c>
      <c r="E387" s="53" t="s">
        <v>28</v>
      </c>
      <c r="F387" s="54">
        <v>14042.23</v>
      </c>
      <c r="G387" s="53">
        <v>719676</v>
      </c>
      <c r="H387" s="53">
        <v>6501</v>
      </c>
      <c r="I387" s="53">
        <v>1102</v>
      </c>
      <c r="J387" s="54">
        <v>20642.078099999999</v>
      </c>
      <c r="K387" s="55">
        <f t="shared" si="24"/>
        <v>0.47</v>
      </c>
      <c r="L387" s="56">
        <f t="shared" si="25"/>
        <v>0.47</v>
      </c>
      <c r="M387" s="56" t="str">
        <f t="shared" si="26"/>
        <v/>
      </c>
      <c r="N387" s="56" t="str">
        <f t="shared" si="27"/>
        <v>OK</v>
      </c>
      <c r="O387" s="2"/>
      <c r="P387" s="27"/>
      <c r="Q387" s="2"/>
      <c r="R387" s="2"/>
    </row>
    <row r="388" spans="1:18" x14ac:dyDescent="0.35">
      <c r="A388" s="57">
        <v>650</v>
      </c>
      <c r="B388" s="57" t="s">
        <v>15</v>
      </c>
      <c r="C388" s="57" t="s">
        <v>32</v>
      </c>
      <c r="D388" s="57" t="s">
        <v>21</v>
      </c>
      <c r="E388" s="57" t="s">
        <v>25</v>
      </c>
      <c r="F388" s="58">
        <v>39337.03</v>
      </c>
      <c r="G388" s="57">
        <v>232542</v>
      </c>
      <c r="H388" s="57">
        <v>4007</v>
      </c>
      <c r="I388" s="57">
        <v>352</v>
      </c>
      <c r="J388" s="58">
        <v>57825.434099999999</v>
      </c>
      <c r="K388" s="55">
        <f t="shared" si="24"/>
        <v>0.47000000000000003</v>
      </c>
      <c r="L388" s="56">
        <f t="shared" si="25"/>
        <v>0.47000000000000003</v>
      </c>
      <c r="M388" s="56" t="str">
        <f t="shared" si="26"/>
        <v/>
      </c>
      <c r="N388" s="56" t="str">
        <f t="shared" si="27"/>
        <v>OK</v>
      </c>
      <c r="O388" s="2"/>
      <c r="P388" s="27"/>
      <c r="Q388" s="2"/>
      <c r="R388" s="2"/>
    </row>
    <row r="389" spans="1:18" x14ac:dyDescent="0.35">
      <c r="A389" s="57">
        <v>660</v>
      </c>
      <c r="B389" s="57" t="s">
        <v>14</v>
      </c>
      <c r="C389" s="57" t="s">
        <v>32</v>
      </c>
      <c r="D389" s="57" t="s">
        <v>22</v>
      </c>
      <c r="E389" s="57" t="s">
        <v>28</v>
      </c>
      <c r="F389" s="58">
        <v>45440.2</v>
      </c>
      <c r="G389" s="57">
        <v>744412</v>
      </c>
      <c r="H389" s="57">
        <v>13698</v>
      </c>
      <c r="I389" s="57">
        <v>1570</v>
      </c>
      <c r="J389" s="58">
        <v>66797.093999999997</v>
      </c>
      <c r="K389" s="55">
        <f t="shared" si="24"/>
        <v>0.47000000000000003</v>
      </c>
      <c r="L389" s="56">
        <f t="shared" si="25"/>
        <v>0.47000000000000003</v>
      </c>
      <c r="M389" s="56" t="str">
        <f t="shared" si="26"/>
        <v/>
      </c>
      <c r="N389" s="56" t="str">
        <f t="shared" si="27"/>
        <v>OK</v>
      </c>
      <c r="O389" s="2"/>
      <c r="P389" s="27"/>
      <c r="Q389" s="2"/>
      <c r="R389" s="2"/>
    </row>
    <row r="390" spans="1:18" x14ac:dyDescent="0.35">
      <c r="A390" s="53">
        <v>815</v>
      </c>
      <c r="B390" s="53" t="s">
        <v>12</v>
      </c>
      <c r="C390" s="53" t="s">
        <v>32</v>
      </c>
      <c r="D390" s="53" t="s">
        <v>20</v>
      </c>
      <c r="E390" s="53" t="s">
        <v>28</v>
      </c>
      <c r="F390" s="54">
        <v>46879.74</v>
      </c>
      <c r="G390" s="53">
        <v>695409</v>
      </c>
      <c r="H390" s="53">
        <v>5033</v>
      </c>
      <c r="I390" s="53">
        <v>1239</v>
      </c>
      <c r="J390" s="54">
        <v>68913.217799999999</v>
      </c>
      <c r="K390" s="55">
        <f t="shared" si="24"/>
        <v>0.47000000000000003</v>
      </c>
      <c r="L390" s="56">
        <f t="shared" si="25"/>
        <v>0.47000000000000003</v>
      </c>
      <c r="M390" s="56" t="str">
        <f t="shared" si="26"/>
        <v/>
      </c>
      <c r="N390" s="56" t="str">
        <f t="shared" si="27"/>
        <v>OK</v>
      </c>
      <c r="O390" s="2"/>
      <c r="P390" s="27"/>
      <c r="Q390" s="2"/>
      <c r="R390" s="2"/>
    </row>
    <row r="391" spans="1:18" x14ac:dyDescent="0.35">
      <c r="A391" s="57">
        <v>24</v>
      </c>
      <c r="B391" s="57" t="s">
        <v>13</v>
      </c>
      <c r="C391" s="57" t="s">
        <v>32</v>
      </c>
      <c r="D391" s="57" t="s">
        <v>17</v>
      </c>
      <c r="E391" s="57" t="s">
        <v>28</v>
      </c>
      <c r="F391" s="58">
        <v>26517.64</v>
      </c>
      <c r="G391" s="57">
        <v>946105</v>
      </c>
      <c r="H391" s="57">
        <v>7585</v>
      </c>
      <c r="I391" s="57">
        <v>575</v>
      </c>
      <c r="J391" s="58">
        <v>38980.930800000002</v>
      </c>
      <c r="K391" s="55">
        <f t="shared" si="24"/>
        <v>0.47000000000000008</v>
      </c>
      <c r="L391" s="56">
        <f t="shared" si="25"/>
        <v>0.47000000000000008</v>
      </c>
      <c r="M391" s="56" t="str">
        <f t="shared" si="26"/>
        <v/>
      </c>
      <c r="N391" s="56" t="str">
        <f t="shared" si="27"/>
        <v>OK</v>
      </c>
      <c r="O391" s="2"/>
      <c r="P391" s="27"/>
      <c r="Q391" s="2"/>
      <c r="R391" s="2"/>
    </row>
    <row r="392" spans="1:18" x14ac:dyDescent="0.35">
      <c r="A392" s="53">
        <v>463</v>
      </c>
      <c r="B392" s="53" t="s">
        <v>10</v>
      </c>
      <c r="C392" s="53" t="s">
        <v>31</v>
      </c>
      <c r="D392" s="53" t="s">
        <v>18</v>
      </c>
      <c r="E392" s="53" t="s">
        <v>24</v>
      </c>
      <c r="F392" s="54">
        <v>48567.54</v>
      </c>
      <c r="G392" s="53">
        <v>624553</v>
      </c>
      <c r="H392" s="53">
        <v>18001</v>
      </c>
      <c r="I392" s="53">
        <v>1699</v>
      </c>
      <c r="J392" s="54">
        <v>71394.283800000005</v>
      </c>
      <c r="K392" s="55">
        <f t="shared" si="24"/>
        <v>0.47000000000000008</v>
      </c>
      <c r="L392" s="56" t="str">
        <f t="shared" si="25"/>
        <v/>
      </c>
      <c r="M392" s="56">
        <f t="shared" si="26"/>
        <v>0.47000000000000008</v>
      </c>
      <c r="N392" s="56" t="str">
        <f t="shared" si="27"/>
        <v>OK</v>
      </c>
      <c r="O392" s="2"/>
      <c r="P392" s="27"/>
      <c r="Q392" s="2"/>
      <c r="R392" s="2"/>
    </row>
    <row r="393" spans="1:18" x14ac:dyDescent="0.35">
      <c r="A393" s="57">
        <v>90</v>
      </c>
      <c r="B393" s="57" t="s">
        <v>14</v>
      </c>
      <c r="C393" s="57" t="s">
        <v>32</v>
      </c>
      <c r="D393" s="57" t="s">
        <v>21</v>
      </c>
      <c r="E393" s="57" t="s">
        <v>24</v>
      </c>
      <c r="F393" s="58">
        <v>27396.09</v>
      </c>
      <c r="G393" s="57">
        <v>101328</v>
      </c>
      <c r="H393" s="57">
        <v>10798</v>
      </c>
      <c r="I393" s="57">
        <v>1110</v>
      </c>
      <c r="J393" s="58">
        <v>40546.213199999998</v>
      </c>
      <c r="K393" s="55">
        <f t="shared" si="24"/>
        <v>0.47999999999999993</v>
      </c>
      <c r="L393" s="56">
        <f t="shared" si="25"/>
        <v>0.47999999999999993</v>
      </c>
      <c r="M393" s="56" t="str">
        <f t="shared" si="26"/>
        <v/>
      </c>
      <c r="N393" s="56" t="str">
        <f t="shared" si="27"/>
        <v>OK</v>
      </c>
      <c r="O393" s="2"/>
      <c r="P393" s="27"/>
      <c r="Q393" s="2"/>
      <c r="R393" s="2"/>
    </row>
    <row r="394" spans="1:18" x14ac:dyDescent="0.35">
      <c r="A394" s="57">
        <v>522</v>
      </c>
      <c r="B394" s="57" t="s">
        <v>8</v>
      </c>
      <c r="C394" s="57" t="s">
        <v>31</v>
      </c>
      <c r="D394" s="57" t="s">
        <v>20</v>
      </c>
      <c r="E394" s="57" t="s">
        <v>28</v>
      </c>
      <c r="F394" s="58">
        <v>2987.38</v>
      </c>
      <c r="G394" s="57">
        <v>203984</v>
      </c>
      <c r="H394" s="57">
        <v>18825</v>
      </c>
      <c r="I394" s="57">
        <v>1403</v>
      </c>
      <c r="J394" s="58">
        <v>4421.3224</v>
      </c>
      <c r="K394" s="55">
        <f t="shared" si="24"/>
        <v>0.47999999999999993</v>
      </c>
      <c r="L394" s="56" t="str">
        <f t="shared" si="25"/>
        <v/>
      </c>
      <c r="M394" s="56">
        <f t="shared" si="26"/>
        <v>0.47999999999999993</v>
      </c>
      <c r="N394" s="56" t="str">
        <f t="shared" si="27"/>
        <v>OK</v>
      </c>
      <c r="O394" s="2"/>
      <c r="P394" s="27"/>
      <c r="Q394" s="2"/>
      <c r="R394" s="2"/>
    </row>
    <row r="395" spans="1:18" x14ac:dyDescent="0.35">
      <c r="A395" s="53">
        <v>415</v>
      </c>
      <c r="B395" s="53" t="s">
        <v>9</v>
      </c>
      <c r="C395" s="53" t="s">
        <v>31</v>
      </c>
      <c r="D395" s="53" t="s">
        <v>17</v>
      </c>
      <c r="E395" s="53" t="s">
        <v>27</v>
      </c>
      <c r="F395" s="54">
        <v>28791.37</v>
      </c>
      <c r="G395" s="53">
        <v>493455</v>
      </c>
      <c r="H395" s="53">
        <v>3891</v>
      </c>
      <c r="I395" s="53">
        <v>598</v>
      </c>
      <c r="J395" s="54">
        <v>42611.227599999998</v>
      </c>
      <c r="K395" s="55">
        <f t="shared" si="24"/>
        <v>0.48</v>
      </c>
      <c r="L395" s="56" t="str">
        <f t="shared" si="25"/>
        <v/>
      </c>
      <c r="M395" s="56">
        <f t="shared" si="26"/>
        <v>0.48</v>
      </c>
      <c r="N395" s="56" t="str">
        <f t="shared" si="27"/>
        <v>OK</v>
      </c>
      <c r="O395" s="2"/>
      <c r="P395" s="27"/>
      <c r="Q395" s="2"/>
      <c r="R395" s="2"/>
    </row>
    <row r="396" spans="1:18" x14ac:dyDescent="0.35">
      <c r="A396" s="53">
        <v>159</v>
      </c>
      <c r="B396" s="53" t="s">
        <v>11</v>
      </c>
      <c r="C396" s="53" t="s">
        <v>32</v>
      </c>
      <c r="D396" s="53" t="s">
        <v>17</v>
      </c>
      <c r="E396" s="53" t="s">
        <v>29</v>
      </c>
      <c r="F396" s="54">
        <v>9099.41</v>
      </c>
      <c r="G396" s="53">
        <v>988754</v>
      </c>
      <c r="H396" s="53">
        <v>12480</v>
      </c>
      <c r="I396" s="53">
        <v>314</v>
      </c>
      <c r="J396" s="54">
        <v>13467.1268</v>
      </c>
      <c r="K396" s="55">
        <f t="shared" si="24"/>
        <v>0.48000000000000004</v>
      </c>
      <c r="L396" s="56">
        <f t="shared" si="25"/>
        <v>0.48000000000000004</v>
      </c>
      <c r="M396" s="56" t="str">
        <f t="shared" si="26"/>
        <v/>
      </c>
      <c r="N396" s="56" t="str">
        <f t="shared" si="27"/>
        <v>OK</v>
      </c>
      <c r="O396" s="2"/>
      <c r="P396" s="27"/>
      <c r="Q396" s="2"/>
      <c r="R396" s="2"/>
    </row>
    <row r="397" spans="1:18" x14ac:dyDescent="0.35">
      <c r="A397" s="53">
        <v>225</v>
      </c>
      <c r="B397" s="53" t="s">
        <v>14</v>
      </c>
      <c r="C397" s="53" t="s">
        <v>32</v>
      </c>
      <c r="D397" s="53" t="s">
        <v>19</v>
      </c>
      <c r="E397" s="53" t="s">
        <v>26</v>
      </c>
      <c r="F397" s="54">
        <v>48400.45</v>
      </c>
      <c r="G397" s="53">
        <v>814807</v>
      </c>
      <c r="H397" s="53">
        <v>14219</v>
      </c>
      <c r="I397" s="53">
        <v>751</v>
      </c>
      <c r="J397" s="54">
        <v>71632.665999999997</v>
      </c>
      <c r="K397" s="55">
        <f t="shared" si="24"/>
        <v>0.48000000000000004</v>
      </c>
      <c r="L397" s="56">
        <f t="shared" si="25"/>
        <v>0.48000000000000004</v>
      </c>
      <c r="M397" s="56" t="str">
        <f t="shared" si="26"/>
        <v/>
      </c>
      <c r="N397" s="56" t="str">
        <f t="shared" si="27"/>
        <v>OK</v>
      </c>
      <c r="O397" s="2"/>
      <c r="P397" s="27"/>
      <c r="Q397" s="2"/>
      <c r="R397" s="2"/>
    </row>
    <row r="398" spans="1:18" x14ac:dyDescent="0.35">
      <c r="A398" s="57">
        <v>478</v>
      </c>
      <c r="B398" s="57" t="s">
        <v>13</v>
      </c>
      <c r="C398" s="57" t="s">
        <v>32</v>
      </c>
      <c r="D398" s="57" t="s">
        <v>22</v>
      </c>
      <c r="E398" s="57" t="s">
        <v>27</v>
      </c>
      <c r="F398" s="58">
        <v>24175.599999999999</v>
      </c>
      <c r="G398" s="57">
        <v>299134</v>
      </c>
      <c r="H398" s="57">
        <v>11251</v>
      </c>
      <c r="I398" s="57">
        <v>1174</v>
      </c>
      <c r="J398" s="58">
        <v>35779.887999999999</v>
      </c>
      <c r="K398" s="55">
        <f t="shared" si="24"/>
        <v>0.48000000000000004</v>
      </c>
      <c r="L398" s="56">
        <f t="shared" si="25"/>
        <v>0.48000000000000004</v>
      </c>
      <c r="M398" s="56" t="str">
        <f t="shared" si="26"/>
        <v/>
      </c>
      <c r="N398" s="56" t="str">
        <f t="shared" si="27"/>
        <v>OK</v>
      </c>
      <c r="O398" s="2"/>
      <c r="P398" s="27"/>
      <c r="Q398" s="2"/>
      <c r="R398" s="2"/>
    </row>
    <row r="399" spans="1:18" x14ac:dyDescent="0.35">
      <c r="A399" s="57">
        <v>590</v>
      </c>
      <c r="B399" s="57" t="s">
        <v>15</v>
      </c>
      <c r="C399" s="57" t="s">
        <v>32</v>
      </c>
      <c r="D399" s="57" t="s">
        <v>22</v>
      </c>
      <c r="E399" s="57" t="s">
        <v>26</v>
      </c>
      <c r="F399" s="58">
        <v>1328.81</v>
      </c>
      <c r="G399" s="57">
        <v>63053</v>
      </c>
      <c r="H399" s="57">
        <v>6945</v>
      </c>
      <c r="I399" s="57">
        <v>849</v>
      </c>
      <c r="J399" s="58">
        <v>1966.6387999999999</v>
      </c>
      <c r="K399" s="55">
        <f t="shared" si="24"/>
        <v>0.48000000000000004</v>
      </c>
      <c r="L399" s="56">
        <f t="shared" si="25"/>
        <v>0.48000000000000004</v>
      </c>
      <c r="M399" s="56" t="str">
        <f t="shared" si="26"/>
        <v/>
      </c>
      <c r="N399" s="56" t="str">
        <f t="shared" si="27"/>
        <v>OK</v>
      </c>
      <c r="O399" s="2"/>
      <c r="P399" s="27"/>
      <c r="Q399" s="2"/>
      <c r="R399" s="2"/>
    </row>
    <row r="400" spans="1:18" x14ac:dyDescent="0.35">
      <c r="A400" s="53">
        <v>959</v>
      </c>
      <c r="B400" s="53" t="s">
        <v>14</v>
      </c>
      <c r="C400" s="53" t="s">
        <v>32</v>
      </c>
      <c r="D400" s="53" t="s">
        <v>22</v>
      </c>
      <c r="E400" s="53" t="s">
        <v>24</v>
      </c>
      <c r="F400" s="54">
        <v>47504.49</v>
      </c>
      <c r="G400" s="53">
        <v>686999</v>
      </c>
      <c r="H400" s="53">
        <v>7797</v>
      </c>
      <c r="I400" s="53">
        <v>1586</v>
      </c>
      <c r="J400" s="54">
        <v>70306.645199999999</v>
      </c>
      <c r="K400" s="55">
        <f t="shared" si="24"/>
        <v>0.48000000000000004</v>
      </c>
      <c r="L400" s="56">
        <f t="shared" si="25"/>
        <v>0.48000000000000004</v>
      </c>
      <c r="M400" s="56" t="str">
        <f t="shared" si="26"/>
        <v/>
      </c>
      <c r="N400" s="56" t="str">
        <f t="shared" si="27"/>
        <v>OK</v>
      </c>
      <c r="O400" s="2"/>
      <c r="P400" s="27"/>
      <c r="Q400" s="2"/>
      <c r="R400" s="2"/>
    </row>
    <row r="401" spans="1:18" x14ac:dyDescent="0.35">
      <c r="A401" s="53">
        <v>915</v>
      </c>
      <c r="B401" s="53" t="s">
        <v>12</v>
      </c>
      <c r="C401" s="53" t="s">
        <v>32</v>
      </c>
      <c r="D401" s="53" t="s">
        <v>18</v>
      </c>
      <c r="E401" s="53" t="s">
        <v>29</v>
      </c>
      <c r="F401" s="54">
        <v>8464.06</v>
      </c>
      <c r="G401" s="53">
        <v>454972</v>
      </c>
      <c r="H401" s="53">
        <v>18834</v>
      </c>
      <c r="I401" s="53">
        <v>1108</v>
      </c>
      <c r="J401" s="54">
        <v>12526.808800000001</v>
      </c>
      <c r="K401" s="55">
        <f t="shared" si="24"/>
        <v>0.48000000000000015</v>
      </c>
      <c r="L401" s="56">
        <f t="shared" si="25"/>
        <v>0.48000000000000015</v>
      </c>
      <c r="M401" s="56" t="str">
        <f t="shared" si="26"/>
        <v/>
      </c>
      <c r="N401" s="56" t="str">
        <f t="shared" si="27"/>
        <v>OK</v>
      </c>
      <c r="O401" s="2"/>
      <c r="P401" s="27"/>
      <c r="Q401" s="2"/>
      <c r="R401" s="2"/>
    </row>
    <row r="402" spans="1:18" x14ac:dyDescent="0.35">
      <c r="A402" s="53">
        <v>529</v>
      </c>
      <c r="B402" s="53" t="s">
        <v>14</v>
      </c>
      <c r="C402" s="53" t="s">
        <v>32</v>
      </c>
      <c r="D402" s="53" t="s">
        <v>19</v>
      </c>
      <c r="E402" s="53" t="s">
        <v>29</v>
      </c>
      <c r="F402" s="54">
        <v>30219.75</v>
      </c>
      <c r="G402" s="53">
        <v>274064</v>
      </c>
      <c r="H402" s="53">
        <v>16360</v>
      </c>
      <c r="I402" s="53">
        <v>1144</v>
      </c>
      <c r="J402" s="54">
        <v>45027.427499999998</v>
      </c>
      <c r="K402" s="55">
        <f t="shared" si="24"/>
        <v>0.48999999999999994</v>
      </c>
      <c r="L402" s="56">
        <f t="shared" si="25"/>
        <v>0.48999999999999994</v>
      </c>
      <c r="M402" s="56" t="str">
        <f t="shared" si="26"/>
        <v/>
      </c>
      <c r="N402" s="56" t="str">
        <f t="shared" si="27"/>
        <v>OK</v>
      </c>
      <c r="O402" s="2"/>
      <c r="P402" s="27"/>
      <c r="Q402" s="2"/>
      <c r="R402" s="2"/>
    </row>
    <row r="403" spans="1:18" x14ac:dyDescent="0.35">
      <c r="A403" s="57">
        <v>432</v>
      </c>
      <c r="B403" s="57" t="s">
        <v>10</v>
      </c>
      <c r="C403" s="57" t="s">
        <v>31</v>
      </c>
      <c r="D403" s="57" t="s">
        <v>21</v>
      </c>
      <c r="E403" s="57" t="s">
        <v>26</v>
      </c>
      <c r="F403" s="58">
        <v>22029.95</v>
      </c>
      <c r="G403" s="57">
        <v>720672</v>
      </c>
      <c r="H403" s="57">
        <v>9883</v>
      </c>
      <c r="I403" s="57">
        <v>1366</v>
      </c>
      <c r="J403" s="58">
        <v>32824.625500000002</v>
      </c>
      <c r="K403" s="55">
        <f t="shared" si="24"/>
        <v>0.49000000000000005</v>
      </c>
      <c r="L403" s="56" t="str">
        <f t="shared" si="25"/>
        <v/>
      </c>
      <c r="M403" s="56">
        <f t="shared" si="26"/>
        <v>0.49000000000000005</v>
      </c>
      <c r="N403" s="56" t="str">
        <f t="shared" si="27"/>
        <v>OK</v>
      </c>
      <c r="O403" s="2"/>
      <c r="P403" s="27"/>
      <c r="Q403" s="2"/>
      <c r="R403" s="2"/>
    </row>
    <row r="404" spans="1:18" x14ac:dyDescent="0.35">
      <c r="A404" s="57">
        <v>752</v>
      </c>
      <c r="B404" s="57" t="s">
        <v>15</v>
      </c>
      <c r="C404" s="57" t="s">
        <v>32</v>
      </c>
      <c r="D404" s="57" t="s">
        <v>21</v>
      </c>
      <c r="E404" s="57" t="s">
        <v>26</v>
      </c>
      <c r="F404" s="58">
        <v>24434.73</v>
      </c>
      <c r="G404" s="57">
        <v>273844</v>
      </c>
      <c r="H404" s="57">
        <v>10093</v>
      </c>
      <c r="I404" s="57">
        <v>1170</v>
      </c>
      <c r="J404" s="58">
        <v>36407.7477</v>
      </c>
      <c r="K404" s="55">
        <f t="shared" si="24"/>
        <v>0.49000000000000005</v>
      </c>
      <c r="L404" s="56">
        <f t="shared" si="25"/>
        <v>0.49000000000000005</v>
      </c>
      <c r="M404" s="56" t="str">
        <f t="shared" si="26"/>
        <v/>
      </c>
      <c r="N404" s="56" t="str">
        <f t="shared" si="27"/>
        <v>OK</v>
      </c>
      <c r="O404" s="2"/>
      <c r="P404" s="27"/>
      <c r="Q404" s="2"/>
      <c r="R404" s="2"/>
    </row>
    <row r="405" spans="1:18" x14ac:dyDescent="0.35">
      <c r="A405" s="53">
        <v>893</v>
      </c>
      <c r="B405" s="53" t="s">
        <v>11</v>
      </c>
      <c r="C405" s="53" t="s">
        <v>32</v>
      </c>
      <c r="D405" s="53" t="s">
        <v>19</v>
      </c>
      <c r="E405" s="53" t="s">
        <v>25</v>
      </c>
      <c r="F405" s="54">
        <v>29192.41</v>
      </c>
      <c r="G405" s="53">
        <v>557473</v>
      </c>
      <c r="H405" s="53">
        <v>16495</v>
      </c>
      <c r="I405" s="53">
        <v>557</v>
      </c>
      <c r="J405" s="54">
        <v>43496.690900000001</v>
      </c>
      <c r="K405" s="55">
        <f t="shared" si="24"/>
        <v>0.49000000000000005</v>
      </c>
      <c r="L405" s="56">
        <f t="shared" si="25"/>
        <v>0.49000000000000005</v>
      </c>
      <c r="M405" s="56" t="str">
        <f t="shared" si="26"/>
        <v/>
      </c>
      <c r="N405" s="56" t="str">
        <f t="shared" si="27"/>
        <v>OK</v>
      </c>
      <c r="O405" s="2"/>
      <c r="P405" s="27"/>
      <c r="Q405" s="2"/>
      <c r="R405" s="2"/>
    </row>
    <row r="406" spans="1:18" x14ac:dyDescent="0.35">
      <c r="A406" s="53">
        <v>371</v>
      </c>
      <c r="B406" s="53" t="s">
        <v>12</v>
      </c>
      <c r="C406" s="53" t="s">
        <v>32</v>
      </c>
      <c r="D406" s="53" t="s">
        <v>21</v>
      </c>
      <c r="E406" s="53" t="s">
        <v>28</v>
      </c>
      <c r="F406" s="54">
        <v>18658.509999999998</v>
      </c>
      <c r="G406" s="53">
        <v>833759</v>
      </c>
      <c r="H406" s="53">
        <v>12049</v>
      </c>
      <c r="I406" s="53">
        <v>1118</v>
      </c>
      <c r="J406" s="54">
        <v>27801.179899999999</v>
      </c>
      <c r="K406" s="55">
        <f t="shared" si="24"/>
        <v>0.4900000000000001</v>
      </c>
      <c r="L406" s="56">
        <f t="shared" si="25"/>
        <v>0.4900000000000001</v>
      </c>
      <c r="M406" s="56" t="str">
        <f t="shared" si="26"/>
        <v/>
      </c>
      <c r="N406" s="56" t="str">
        <f t="shared" si="27"/>
        <v>OK</v>
      </c>
      <c r="O406" s="2"/>
      <c r="P406" s="27"/>
      <c r="Q406" s="2"/>
      <c r="R406" s="2"/>
    </row>
    <row r="407" spans="1:18" x14ac:dyDescent="0.35">
      <c r="A407" s="53">
        <v>503</v>
      </c>
      <c r="B407" s="53" t="s">
        <v>15</v>
      </c>
      <c r="C407" s="53" t="s">
        <v>32</v>
      </c>
      <c r="D407" s="53" t="s">
        <v>21</v>
      </c>
      <c r="E407" s="53" t="s">
        <v>29</v>
      </c>
      <c r="F407" s="54">
        <v>34095.589999999997</v>
      </c>
      <c r="G407" s="53">
        <v>536930</v>
      </c>
      <c r="H407" s="53">
        <v>6405</v>
      </c>
      <c r="I407" s="53">
        <v>332</v>
      </c>
      <c r="J407" s="54">
        <v>50802.429100000001</v>
      </c>
      <c r="K407" s="55">
        <f t="shared" si="24"/>
        <v>0.49000000000000021</v>
      </c>
      <c r="L407" s="56">
        <f t="shared" si="25"/>
        <v>0.49000000000000021</v>
      </c>
      <c r="M407" s="56" t="str">
        <f t="shared" si="26"/>
        <v/>
      </c>
      <c r="N407" s="56" t="str">
        <f t="shared" si="27"/>
        <v>OK</v>
      </c>
      <c r="O407" s="2"/>
      <c r="P407" s="27"/>
      <c r="Q407" s="2"/>
      <c r="R407" s="2"/>
    </row>
    <row r="408" spans="1:18" x14ac:dyDescent="0.35">
      <c r="A408" s="53">
        <v>621</v>
      </c>
      <c r="B408" s="53" t="s">
        <v>12</v>
      </c>
      <c r="C408" s="53" t="s">
        <v>32</v>
      </c>
      <c r="D408" s="53" t="s">
        <v>17</v>
      </c>
      <c r="E408" s="53" t="s">
        <v>26</v>
      </c>
      <c r="F408" s="54">
        <v>49748.04</v>
      </c>
      <c r="G408" s="53">
        <v>708876</v>
      </c>
      <c r="H408" s="53">
        <v>4721</v>
      </c>
      <c r="I408" s="53">
        <v>1892</v>
      </c>
      <c r="J408" s="54">
        <v>74622.06</v>
      </c>
      <c r="K408" s="55">
        <f t="shared" si="24"/>
        <v>0.49999999999999994</v>
      </c>
      <c r="L408" s="56">
        <f t="shared" si="25"/>
        <v>0.49999999999999994</v>
      </c>
      <c r="M408" s="56" t="str">
        <f t="shared" si="26"/>
        <v/>
      </c>
      <c r="N408" s="56" t="str">
        <f t="shared" si="27"/>
        <v>OK</v>
      </c>
      <c r="O408" s="2"/>
      <c r="P408" s="27"/>
      <c r="Q408" s="2"/>
      <c r="R408" s="2"/>
    </row>
    <row r="409" spans="1:18" x14ac:dyDescent="0.35">
      <c r="A409" s="57">
        <v>30</v>
      </c>
      <c r="B409" s="57" t="s">
        <v>12</v>
      </c>
      <c r="C409" s="57" t="s">
        <v>32</v>
      </c>
      <c r="D409" s="57" t="s">
        <v>18</v>
      </c>
      <c r="E409" s="57" t="s">
        <v>25</v>
      </c>
      <c r="F409" s="58">
        <v>5655.57</v>
      </c>
      <c r="G409" s="57">
        <v>740031</v>
      </c>
      <c r="H409" s="57">
        <v>19209</v>
      </c>
      <c r="I409" s="57">
        <v>620</v>
      </c>
      <c r="J409" s="58">
        <v>8483.3549999999996</v>
      </c>
      <c r="K409" s="55">
        <f t="shared" si="24"/>
        <v>0.5</v>
      </c>
      <c r="L409" s="56">
        <f t="shared" si="25"/>
        <v>0.5</v>
      </c>
      <c r="M409" s="56" t="str">
        <f t="shared" si="26"/>
        <v/>
      </c>
      <c r="N409" s="56" t="str">
        <f t="shared" si="27"/>
        <v>OK</v>
      </c>
      <c r="O409" s="2"/>
      <c r="P409" s="27"/>
      <c r="Q409" s="2"/>
      <c r="R409" s="2"/>
    </row>
    <row r="410" spans="1:18" x14ac:dyDescent="0.35">
      <c r="A410" s="57">
        <v>156</v>
      </c>
      <c r="B410" s="57" t="s">
        <v>14</v>
      </c>
      <c r="C410" s="57" t="s">
        <v>32</v>
      </c>
      <c r="D410" s="57" t="s">
        <v>20</v>
      </c>
      <c r="E410" s="57" t="s">
        <v>25</v>
      </c>
      <c r="F410" s="58">
        <v>10943.88</v>
      </c>
      <c r="G410" s="57">
        <v>282919</v>
      </c>
      <c r="H410" s="57">
        <v>18162</v>
      </c>
      <c r="I410" s="57">
        <v>269</v>
      </c>
      <c r="J410" s="58">
        <v>16415.82</v>
      </c>
      <c r="K410" s="55">
        <f t="shared" si="24"/>
        <v>0.50000000000000011</v>
      </c>
      <c r="L410" s="56">
        <f t="shared" si="25"/>
        <v>0.50000000000000011</v>
      </c>
      <c r="M410" s="56" t="str">
        <f t="shared" si="26"/>
        <v/>
      </c>
      <c r="N410" s="56" t="str">
        <f t="shared" si="27"/>
        <v>OK</v>
      </c>
      <c r="O410" s="2"/>
      <c r="P410" s="27"/>
      <c r="Q410" s="2"/>
      <c r="R410" s="2"/>
    </row>
    <row r="411" spans="1:18" x14ac:dyDescent="0.35">
      <c r="A411" s="57">
        <v>210</v>
      </c>
      <c r="B411" s="57" t="s">
        <v>15</v>
      </c>
      <c r="C411" s="57" t="s">
        <v>32</v>
      </c>
      <c r="D411" s="57" t="s">
        <v>21</v>
      </c>
      <c r="E411" s="57" t="s">
        <v>24</v>
      </c>
      <c r="F411" s="58">
        <v>27867.71</v>
      </c>
      <c r="G411" s="57">
        <v>559999</v>
      </c>
      <c r="H411" s="57">
        <v>3235</v>
      </c>
      <c r="I411" s="57">
        <v>226</v>
      </c>
      <c r="J411" s="58">
        <v>41801.565000000002</v>
      </c>
      <c r="K411" s="55">
        <f t="shared" si="24"/>
        <v>0.50000000000000011</v>
      </c>
      <c r="L411" s="56">
        <f t="shared" si="25"/>
        <v>0.50000000000000011</v>
      </c>
      <c r="M411" s="56" t="str">
        <f t="shared" si="26"/>
        <v/>
      </c>
      <c r="N411" s="56" t="str">
        <f t="shared" si="27"/>
        <v>OK</v>
      </c>
      <c r="O411" s="2"/>
      <c r="P411" s="27"/>
      <c r="Q411" s="2"/>
      <c r="R411" s="2"/>
    </row>
    <row r="412" spans="1:18" x14ac:dyDescent="0.35">
      <c r="A412" s="57">
        <v>212</v>
      </c>
      <c r="B412" s="57" t="s">
        <v>8</v>
      </c>
      <c r="C412" s="57" t="s">
        <v>31</v>
      </c>
      <c r="D412" s="57" t="s">
        <v>18</v>
      </c>
      <c r="E412" s="57" t="s">
        <v>24</v>
      </c>
      <c r="F412" s="58">
        <v>44224.65</v>
      </c>
      <c r="G412" s="57">
        <v>861890</v>
      </c>
      <c r="H412" s="57">
        <v>1646</v>
      </c>
      <c r="I412" s="57">
        <v>1552</v>
      </c>
      <c r="J412" s="58">
        <v>66336.975000000006</v>
      </c>
      <c r="K412" s="55">
        <f t="shared" si="24"/>
        <v>0.50000000000000011</v>
      </c>
      <c r="L412" s="56" t="str">
        <f t="shared" si="25"/>
        <v/>
      </c>
      <c r="M412" s="56">
        <f t="shared" si="26"/>
        <v>0.50000000000000011</v>
      </c>
      <c r="N412" s="56" t="str">
        <f t="shared" si="27"/>
        <v>OK</v>
      </c>
      <c r="O412" s="2"/>
      <c r="P412" s="27"/>
      <c r="Q412" s="2"/>
      <c r="R412" s="2"/>
    </row>
    <row r="413" spans="1:18" x14ac:dyDescent="0.35">
      <c r="A413" s="57">
        <v>446</v>
      </c>
      <c r="B413" s="57" t="s">
        <v>9</v>
      </c>
      <c r="C413" s="57" t="s">
        <v>31</v>
      </c>
      <c r="D413" s="57" t="s">
        <v>17</v>
      </c>
      <c r="E413" s="57" t="s">
        <v>24</v>
      </c>
      <c r="F413" s="58">
        <v>2231.96</v>
      </c>
      <c r="G413" s="57">
        <v>390634</v>
      </c>
      <c r="H413" s="57">
        <v>10334</v>
      </c>
      <c r="I413" s="57">
        <v>1823</v>
      </c>
      <c r="J413" s="58">
        <v>3370.2595999999999</v>
      </c>
      <c r="K413" s="55">
        <f t="shared" si="24"/>
        <v>0.5099999999999999</v>
      </c>
      <c r="L413" s="56" t="str">
        <f t="shared" si="25"/>
        <v/>
      </c>
      <c r="M413" s="56">
        <f t="shared" si="26"/>
        <v>0.5099999999999999</v>
      </c>
      <c r="N413" s="56" t="str">
        <f t="shared" si="27"/>
        <v>OK</v>
      </c>
      <c r="O413" s="2"/>
      <c r="P413" s="27"/>
      <c r="Q413" s="2"/>
      <c r="R413" s="2"/>
    </row>
    <row r="414" spans="1:18" x14ac:dyDescent="0.35">
      <c r="A414" s="53">
        <v>315</v>
      </c>
      <c r="B414" s="53" t="s">
        <v>9</v>
      </c>
      <c r="C414" s="53" t="s">
        <v>31</v>
      </c>
      <c r="D414" s="53" t="s">
        <v>17</v>
      </c>
      <c r="E414" s="53" t="s">
        <v>24</v>
      </c>
      <c r="F414" s="54">
        <v>6999.26</v>
      </c>
      <c r="G414" s="53">
        <v>381513</v>
      </c>
      <c r="H414" s="53">
        <v>1981</v>
      </c>
      <c r="I414" s="53">
        <v>1971</v>
      </c>
      <c r="J414" s="54">
        <v>10568.882600000001</v>
      </c>
      <c r="K414" s="55">
        <f t="shared" si="24"/>
        <v>0.51000000000000012</v>
      </c>
      <c r="L414" s="56" t="str">
        <f t="shared" si="25"/>
        <v/>
      </c>
      <c r="M414" s="56">
        <f t="shared" si="26"/>
        <v>0.51000000000000012</v>
      </c>
      <c r="N414" s="56" t="str">
        <f t="shared" si="27"/>
        <v>OK</v>
      </c>
      <c r="O414" s="2"/>
      <c r="P414" s="27"/>
      <c r="Q414" s="2"/>
      <c r="R414" s="2"/>
    </row>
    <row r="415" spans="1:18" x14ac:dyDescent="0.35">
      <c r="A415" s="57">
        <v>764</v>
      </c>
      <c r="B415" s="57" t="s">
        <v>14</v>
      </c>
      <c r="C415" s="57" t="s">
        <v>32</v>
      </c>
      <c r="D415" s="57" t="s">
        <v>18</v>
      </c>
      <c r="E415" s="57" t="s">
        <v>27</v>
      </c>
      <c r="F415" s="58">
        <v>42269.31</v>
      </c>
      <c r="G415" s="57">
        <v>177527</v>
      </c>
      <c r="H415" s="57">
        <v>13197</v>
      </c>
      <c r="I415" s="57">
        <v>797</v>
      </c>
      <c r="J415" s="58">
        <v>63826.658100000001</v>
      </c>
      <c r="K415" s="55">
        <f t="shared" si="24"/>
        <v>0.51000000000000012</v>
      </c>
      <c r="L415" s="56">
        <f t="shared" si="25"/>
        <v>0.51000000000000012</v>
      </c>
      <c r="M415" s="56" t="str">
        <f t="shared" si="26"/>
        <v/>
      </c>
      <c r="N415" s="56" t="str">
        <f t="shared" si="27"/>
        <v>OK</v>
      </c>
      <c r="O415" s="2"/>
      <c r="P415" s="27"/>
      <c r="Q415" s="2"/>
      <c r="R415" s="2"/>
    </row>
    <row r="416" spans="1:18" x14ac:dyDescent="0.35">
      <c r="A416" s="57">
        <v>22</v>
      </c>
      <c r="B416" s="57" t="s">
        <v>15</v>
      </c>
      <c r="C416" s="57" t="s">
        <v>32</v>
      </c>
      <c r="D416" s="57" t="s">
        <v>20</v>
      </c>
      <c r="E416" s="57" t="s">
        <v>27</v>
      </c>
      <c r="F416" s="58">
        <v>24814.76</v>
      </c>
      <c r="G416" s="57">
        <v>689892</v>
      </c>
      <c r="H416" s="57">
        <v>4986</v>
      </c>
      <c r="I416" s="57">
        <v>1620</v>
      </c>
      <c r="J416" s="58">
        <v>37470.287600000003</v>
      </c>
      <c r="K416" s="55">
        <f t="shared" si="24"/>
        <v>0.51000000000000023</v>
      </c>
      <c r="L416" s="56">
        <f t="shared" si="25"/>
        <v>0.51000000000000023</v>
      </c>
      <c r="M416" s="56" t="str">
        <f t="shared" si="26"/>
        <v/>
      </c>
      <c r="N416" s="56" t="str">
        <f t="shared" si="27"/>
        <v>OK</v>
      </c>
      <c r="O416" s="2"/>
      <c r="P416" s="27"/>
      <c r="Q416" s="2"/>
      <c r="R416" s="2"/>
    </row>
    <row r="417" spans="1:18" x14ac:dyDescent="0.35">
      <c r="A417" s="57">
        <v>784</v>
      </c>
      <c r="B417" s="57" t="s">
        <v>12</v>
      </c>
      <c r="C417" s="57" t="s">
        <v>32</v>
      </c>
      <c r="D417" s="57" t="s">
        <v>20</v>
      </c>
      <c r="E417" s="57" t="s">
        <v>24</v>
      </c>
      <c r="F417" s="58">
        <v>6877.73</v>
      </c>
      <c r="G417" s="57">
        <v>493442</v>
      </c>
      <c r="H417" s="57">
        <v>4786</v>
      </c>
      <c r="I417" s="57">
        <v>530</v>
      </c>
      <c r="J417" s="58">
        <v>10385.372300000001</v>
      </c>
      <c r="K417" s="55">
        <f t="shared" si="24"/>
        <v>0.51000000000000023</v>
      </c>
      <c r="L417" s="56">
        <f t="shared" si="25"/>
        <v>0.51000000000000023</v>
      </c>
      <c r="M417" s="56" t="str">
        <f t="shared" si="26"/>
        <v/>
      </c>
      <c r="N417" s="56" t="str">
        <f t="shared" si="27"/>
        <v>OK</v>
      </c>
      <c r="O417" s="2"/>
      <c r="P417" s="27"/>
      <c r="Q417" s="2"/>
      <c r="R417" s="2"/>
    </row>
    <row r="418" spans="1:18" x14ac:dyDescent="0.35">
      <c r="A418" s="57">
        <v>196</v>
      </c>
      <c r="B418" s="57" t="s">
        <v>14</v>
      </c>
      <c r="C418" s="57" t="s">
        <v>32</v>
      </c>
      <c r="D418" s="57" t="s">
        <v>20</v>
      </c>
      <c r="E418" s="57" t="s">
        <v>28</v>
      </c>
      <c r="F418" s="58">
        <v>22015.46</v>
      </c>
      <c r="G418" s="57">
        <v>161538</v>
      </c>
      <c r="H418" s="57">
        <v>10120</v>
      </c>
      <c r="I418" s="57">
        <v>1250</v>
      </c>
      <c r="J418" s="58">
        <v>33463.499199999998</v>
      </c>
      <c r="K418" s="55">
        <f t="shared" si="24"/>
        <v>0.52</v>
      </c>
      <c r="L418" s="56">
        <f t="shared" si="25"/>
        <v>0.52</v>
      </c>
      <c r="M418" s="56" t="str">
        <f t="shared" si="26"/>
        <v/>
      </c>
      <c r="N418" s="56" t="str">
        <f t="shared" si="27"/>
        <v>OK</v>
      </c>
      <c r="O418" s="2"/>
      <c r="P418" s="27"/>
      <c r="Q418" s="2"/>
      <c r="R418" s="2"/>
    </row>
    <row r="419" spans="1:18" x14ac:dyDescent="0.35">
      <c r="A419" s="57">
        <v>416</v>
      </c>
      <c r="B419" s="57" t="s">
        <v>11</v>
      </c>
      <c r="C419" s="57" t="s">
        <v>32</v>
      </c>
      <c r="D419" s="57" t="s">
        <v>19</v>
      </c>
      <c r="E419" s="57" t="s">
        <v>25</v>
      </c>
      <c r="F419" s="58">
        <v>14907.59</v>
      </c>
      <c r="G419" s="57">
        <v>900677</v>
      </c>
      <c r="H419" s="57">
        <v>3971</v>
      </c>
      <c r="I419" s="57">
        <v>1382</v>
      </c>
      <c r="J419" s="58">
        <v>22659.536800000002</v>
      </c>
      <c r="K419" s="55">
        <f t="shared" si="24"/>
        <v>0.52000000000000013</v>
      </c>
      <c r="L419" s="56">
        <f t="shared" si="25"/>
        <v>0.52000000000000013</v>
      </c>
      <c r="M419" s="56" t="str">
        <f t="shared" si="26"/>
        <v/>
      </c>
      <c r="N419" s="56" t="str">
        <f t="shared" si="27"/>
        <v>OK</v>
      </c>
      <c r="O419" s="2"/>
      <c r="P419" s="27"/>
      <c r="Q419" s="2"/>
      <c r="R419" s="2"/>
    </row>
    <row r="420" spans="1:18" x14ac:dyDescent="0.35">
      <c r="A420" s="57">
        <v>302</v>
      </c>
      <c r="B420" s="57" t="s">
        <v>11</v>
      </c>
      <c r="C420" s="57" t="s">
        <v>32</v>
      </c>
      <c r="D420" s="57" t="s">
        <v>22</v>
      </c>
      <c r="E420" s="57" t="s">
        <v>24</v>
      </c>
      <c r="F420" s="58">
        <v>2635.8</v>
      </c>
      <c r="G420" s="57">
        <v>357235</v>
      </c>
      <c r="H420" s="57">
        <v>12071</v>
      </c>
      <c r="I420" s="57">
        <v>591</v>
      </c>
      <c r="J420" s="58">
        <v>4032.7739999999999</v>
      </c>
      <c r="K420" s="55">
        <f t="shared" si="24"/>
        <v>0.5299999999999998</v>
      </c>
      <c r="L420" s="56">
        <f t="shared" si="25"/>
        <v>0.5299999999999998</v>
      </c>
      <c r="M420" s="56" t="str">
        <f t="shared" si="26"/>
        <v/>
      </c>
      <c r="N420" s="56" t="str">
        <f t="shared" si="27"/>
        <v>OK</v>
      </c>
      <c r="O420" s="2"/>
      <c r="P420" s="27"/>
      <c r="Q420" s="2"/>
      <c r="R420" s="2"/>
    </row>
    <row r="421" spans="1:18" x14ac:dyDescent="0.35">
      <c r="A421" s="57">
        <v>580</v>
      </c>
      <c r="B421" s="57" t="s">
        <v>14</v>
      </c>
      <c r="C421" s="57" t="s">
        <v>32</v>
      </c>
      <c r="D421" s="57" t="s">
        <v>17</v>
      </c>
      <c r="E421" s="57" t="s">
        <v>28</v>
      </c>
      <c r="F421" s="58">
        <v>26764.82</v>
      </c>
      <c r="G421" s="57">
        <v>229128</v>
      </c>
      <c r="H421" s="57">
        <v>15949</v>
      </c>
      <c r="I421" s="57">
        <v>1376</v>
      </c>
      <c r="J421" s="58">
        <v>40950.174599999998</v>
      </c>
      <c r="K421" s="55">
        <f t="shared" si="24"/>
        <v>0.52999999999999992</v>
      </c>
      <c r="L421" s="56">
        <f t="shared" si="25"/>
        <v>0.52999999999999992</v>
      </c>
      <c r="M421" s="56" t="str">
        <f t="shared" si="26"/>
        <v/>
      </c>
      <c r="N421" s="56" t="str">
        <f t="shared" si="27"/>
        <v>OK</v>
      </c>
      <c r="O421" s="2"/>
      <c r="P421" s="27"/>
      <c r="Q421" s="2"/>
      <c r="R421" s="2"/>
    </row>
    <row r="422" spans="1:18" x14ac:dyDescent="0.35">
      <c r="A422" s="57">
        <v>816</v>
      </c>
      <c r="B422" s="57" t="s">
        <v>15</v>
      </c>
      <c r="C422" s="57" t="s">
        <v>32</v>
      </c>
      <c r="D422" s="57" t="s">
        <v>19</v>
      </c>
      <c r="E422" s="57" t="s">
        <v>25</v>
      </c>
      <c r="F422" s="58">
        <v>34081.86</v>
      </c>
      <c r="G422" s="57">
        <v>408834</v>
      </c>
      <c r="H422" s="57">
        <v>5026</v>
      </c>
      <c r="I422" s="57">
        <v>188</v>
      </c>
      <c r="J422" s="58">
        <v>52145.245799999997</v>
      </c>
      <c r="K422" s="55">
        <f t="shared" si="24"/>
        <v>0.52999999999999992</v>
      </c>
      <c r="L422" s="56">
        <f t="shared" si="25"/>
        <v>0.52999999999999992</v>
      </c>
      <c r="M422" s="56" t="str">
        <f t="shared" si="26"/>
        <v/>
      </c>
      <c r="N422" s="56" t="str">
        <f t="shared" si="27"/>
        <v>OK</v>
      </c>
      <c r="O422" s="2"/>
      <c r="P422" s="27"/>
      <c r="Q422" s="2"/>
      <c r="R422" s="2"/>
    </row>
    <row r="423" spans="1:18" x14ac:dyDescent="0.35">
      <c r="A423" s="57">
        <v>106</v>
      </c>
      <c r="B423" s="57" t="s">
        <v>14</v>
      </c>
      <c r="C423" s="57" t="s">
        <v>32</v>
      </c>
      <c r="D423" s="57" t="s">
        <v>22</v>
      </c>
      <c r="E423" s="57" t="s">
        <v>25</v>
      </c>
      <c r="F423" s="58">
        <v>39239.589999999997</v>
      </c>
      <c r="G423" s="57">
        <v>725339</v>
      </c>
      <c r="H423" s="57">
        <v>3939</v>
      </c>
      <c r="I423" s="57">
        <v>1556</v>
      </c>
      <c r="J423" s="58">
        <v>60036.572699999997</v>
      </c>
      <c r="K423" s="55">
        <f t="shared" si="24"/>
        <v>0.53</v>
      </c>
      <c r="L423" s="56">
        <f t="shared" si="25"/>
        <v>0.53</v>
      </c>
      <c r="M423" s="56" t="str">
        <f t="shared" si="26"/>
        <v/>
      </c>
      <c r="N423" s="56" t="str">
        <f t="shared" si="27"/>
        <v>OK</v>
      </c>
      <c r="O423" s="2"/>
      <c r="P423" s="27"/>
      <c r="Q423" s="2"/>
      <c r="R423" s="2"/>
    </row>
    <row r="424" spans="1:18" x14ac:dyDescent="0.35">
      <c r="A424" s="53">
        <v>263</v>
      </c>
      <c r="B424" s="53" t="s">
        <v>15</v>
      </c>
      <c r="C424" s="53" t="s">
        <v>32</v>
      </c>
      <c r="D424" s="53" t="s">
        <v>22</v>
      </c>
      <c r="E424" s="53" t="s">
        <v>25</v>
      </c>
      <c r="F424" s="54">
        <v>7186.44</v>
      </c>
      <c r="G424" s="53">
        <v>817015</v>
      </c>
      <c r="H424" s="53">
        <v>19683</v>
      </c>
      <c r="I424" s="53">
        <v>537</v>
      </c>
      <c r="J424" s="54">
        <v>10995.253199999999</v>
      </c>
      <c r="K424" s="55">
        <f t="shared" si="24"/>
        <v>0.53</v>
      </c>
      <c r="L424" s="56">
        <f t="shared" si="25"/>
        <v>0.53</v>
      </c>
      <c r="M424" s="56" t="str">
        <f t="shared" si="26"/>
        <v/>
      </c>
      <c r="N424" s="56" t="str">
        <f t="shared" si="27"/>
        <v>OK</v>
      </c>
      <c r="O424" s="2"/>
      <c r="P424" s="27"/>
      <c r="Q424" s="2"/>
      <c r="R424" s="2"/>
    </row>
    <row r="425" spans="1:18" x14ac:dyDescent="0.35">
      <c r="A425" s="53">
        <v>513</v>
      </c>
      <c r="B425" s="53" t="s">
        <v>8</v>
      </c>
      <c r="C425" s="53" t="s">
        <v>31</v>
      </c>
      <c r="D425" s="53" t="s">
        <v>22</v>
      </c>
      <c r="E425" s="53" t="s">
        <v>25</v>
      </c>
      <c r="F425" s="54">
        <v>34055.78</v>
      </c>
      <c r="G425" s="53">
        <v>397988</v>
      </c>
      <c r="H425" s="53">
        <v>4865</v>
      </c>
      <c r="I425" s="53">
        <v>1742</v>
      </c>
      <c r="J425" s="54">
        <v>52105.343399999998</v>
      </c>
      <c r="K425" s="55">
        <f t="shared" si="24"/>
        <v>0.53</v>
      </c>
      <c r="L425" s="56" t="str">
        <f t="shared" si="25"/>
        <v/>
      </c>
      <c r="M425" s="56">
        <f t="shared" si="26"/>
        <v>0.53</v>
      </c>
      <c r="N425" s="56" t="str">
        <f t="shared" si="27"/>
        <v>OK</v>
      </c>
      <c r="O425" s="2"/>
      <c r="P425" s="27"/>
      <c r="Q425" s="2"/>
      <c r="R425" s="2"/>
    </row>
    <row r="426" spans="1:18" x14ac:dyDescent="0.35">
      <c r="A426" s="57">
        <v>856</v>
      </c>
      <c r="B426" s="57" t="s">
        <v>15</v>
      </c>
      <c r="C426" s="57" t="s">
        <v>32</v>
      </c>
      <c r="D426" s="57" t="s">
        <v>17</v>
      </c>
      <c r="E426" s="57" t="s">
        <v>28</v>
      </c>
      <c r="F426" s="58">
        <v>20341.98</v>
      </c>
      <c r="G426" s="57">
        <v>532780</v>
      </c>
      <c r="H426" s="57">
        <v>10780</v>
      </c>
      <c r="I426" s="57">
        <v>1394</v>
      </c>
      <c r="J426" s="58">
        <v>31123.2294</v>
      </c>
      <c r="K426" s="55">
        <f t="shared" si="24"/>
        <v>0.53</v>
      </c>
      <c r="L426" s="56">
        <f t="shared" si="25"/>
        <v>0.53</v>
      </c>
      <c r="M426" s="56" t="str">
        <f t="shared" si="26"/>
        <v/>
      </c>
      <c r="N426" s="56" t="str">
        <f t="shared" si="27"/>
        <v>OK</v>
      </c>
      <c r="O426" s="2"/>
      <c r="P426" s="27"/>
      <c r="Q426" s="2"/>
      <c r="R426" s="2"/>
    </row>
    <row r="427" spans="1:18" x14ac:dyDescent="0.35">
      <c r="A427" s="57">
        <v>998</v>
      </c>
      <c r="B427" s="57" t="s">
        <v>12</v>
      </c>
      <c r="C427" s="57" t="s">
        <v>32</v>
      </c>
      <c r="D427" s="57" t="s">
        <v>21</v>
      </c>
      <c r="E427" s="57" t="s">
        <v>29</v>
      </c>
      <c r="F427" s="58">
        <v>42856.87</v>
      </c>
      <c r="G427" s="57">
        <v>914765</v>
      </c>
      <c r="H427" s="57">
        <v>1035</v>
      </c>
      <c r="I427" s="57">
        <v>727</v>
      </c>
      <c r="J427" s="58">
        <v>65571.011100000003</v>
      </c>
      <c r="K427" s="55">
        <f t="shared" si="24"/>
        <v>0.53</v>
      </c>
      <c r="L427" s="56">
        <f t="shared" si="25"/>
        <v>0.53</v>
      </c>
      <c r="M427" s="56" t="str">
        <f t="shared" si="26"/>
        <v/>
      </c>
      <c r="N427" s="56" t="str">
        <f t="shared" si="27"/>
        <v>OK</v>
      </c>
      <c r="O427" s="2"/>
      <c r="P427" s="27"/>
      <c r="Q427" s="2"/>
      <c r="R427" s="2"/>
    </row>
    <row r="428" spans="1:18" x14ac:dyDescent="0.35">
      <c r="A428" s="57">
        <v>790</v>
      </c>
      <c r="B428" s="57" t="s">
        <v>8</v>
      </c>
      <c r="C428" s="57" t="s">
        <v>31</v>
      </c>
      <c r="D428" s="57" t="s">
        <v>20</v>
      </c>
      <c r="E428" s="57" t="s">
        <v>25</v>
      </c>
      <c r="F428" s="58">
        <v>41365.129999999997</v>
      </c>
      <c r="G428" s="57">
        <v>918298</v>
      </c>
      <c r="H428" s="57">
        <v>16624</v>
      </c>
      <c r="I428" s="57">
        <v>1542</v>
      </c>
      <c r="J428" s="58">
        <v>63288.6489</v>
      </c>
      <c r="K428" s="55">
        <f t="shared" si="24"/>
        <v>0.53000000000000014</v>
      </c>
      <c r="L428" s="56" t="str">
        <f t="shared" si="25"/>
        <v/>
      </c>
      <c r="M428" s="56">
        <f t="shared" si="26"/>
        <v>0.53000000000000014</v>
      </c>
      <c r="N428" s="56" t="str">
        <f t="shared" si="27"/>
        <v>OK</v>
      </c>
      <c r="O428" s="2"/>
      <c r="P428" s="27"/>
      <c r="Q428" s="2"/>
      <c r="R428" s="2"/>
    </row>
    <row r="429" spans="1:18" x14ac:dyDescent="0.35">
      <c r="A429" s="57">
        <v>866</v>
      </c>
      <c r="B429" s="57" t="s">
        <v>11</v>
      </c>
      <c r="C429" s="57" t="s">
        <v>32</v>
      </c>
      <c r="D429" s="57" t="s">
        <v>20</v>
      </c>
      <c r="E429" s="57" t="s">
        <v>29</v>
      </c>
      <c r="F429" s="58">
        <v>3107.34</v>
      </c>
      <c r="G429" s="57">
        <v>52056</v>
      </c>
      <c r="H429" s="57">
        <v>16627</v>
      </c>
      <c r="I429" s="57">
        <v>1500</v>
      </c>
      <c r="J429" s="58">
        <v>4785.3036000000002</v>
      </c>
      <c r="K429" s="55">
        <f t="shared" si="24"/>
        <v>0.54</v>
      </c>
      <c r="L429" s="56">
        <f t="shared" si="25"/>
        <v>0.54</v>
      </c>
      <c r="M429" s="56" t="str">
        <f t="shared" si="26"/>
        <v/>
      </c>
      <c r="N429" s="56" t="str">
        <f t="shared" si="27"/>
        <v>OK</v>
      </c>
      <c r="O429" s="2"/>
      <c r="P429" s="27"/>
      <c r="Q429" s="2"/>
      <c r="R429" s="2"/>
    </row>
    <row r="430" spans="1:18" x14ac:dyDescent="0.35">
      <c r="A430" s="53">
        <v>885</v>
      </c>
      <c r="B430" s="53" t="s">
        <v>13</v>
      </c>
      <c r="C430" s="53" t="s">
        <v>32</v>
      </c>
      <c r="D430" s="53" t="s">
        <v>22</v>
      </c>
      <c r="E430" s="53" t="s">
        <v>24</v>
      </c>
      <c r="F430" s="54">
        <v>3041.18</v>
      </c>
      <c r="G430" s="53">
        <v>927262</v>
      </c>
      <c r="H430" s="53">
        <v>10870</v>
      </c>
      <c r="I430" s="53">
        <v>1306</v>
      </c>
      <c r="J430" s="54">
        <v>4683.4171999999999</v>
      </c>
      <c r="K430" s="55">
        <f t="shared" si="24"/>
        <v>0.54</v>
      </c>
      <c r="L430" s="56">
        <f t="shared" si="25"/>
        <v>0.54</v>
      </c>
      <c r="M430" s="56" t="str">
        <f t="shared" si="26"/>
        <v/>
      </c>
      <c r="N430" s="56" t="str">
        <f t="shared" si="27"/>
        <v>OK</v>
      </c>
      <c r="O430" s="2"/>
      <c r="P430" s="27"/>
      <c r="Q430" s="2"/>
      <c r="R430" s="2"/>
    </row>
    <row r="431" spans="1:18" x14ac:dyDescent="0.35">
      <c r="A431" s="53">
        <v>843</v>
      </c>
      <c r="B431" s="53" t="s">
        <v>11</v>
      </c>
      <c r="C431" s="53" t="s">
        <v>32</v>
      </c>
      <c r="D431" s="53" t="s">
        <v>22</v>
      </c>
      <c r="E431" s="53" t="s">
        <v>26</v>
      </c>
      <c r="F431" s="54">
        <v>1141.18</v>
      </c>
      <c r="G431" s="53">
        <v>171081</v>
      </c>
      <c r="H431" s="53">
        <v>16046</v>
      </c>
      <c r="I431" s="53">
        <v>1225</v>
      </c>
      <c r="J431" s="54">
        <v>1768.829</v>
      </c>
      <c r="K431" s="55">
        <f t="shared" si="24"/>
        <v>0.54999999999999982</v>
      </c>
      <c r="L431" s="56">
        <f t="shared" si="25"/>
        <v>0.54999999999999982</v>
      </c>
      <c r="M431" s="56" t="str">
        <f t="shared" si="26"/>
        <v/>
      </c>
      <c r="N431" s="56" t="str">
        <f t="shared" si="27"/>
        <v>OK</v>
      </c>
      <c r="O431" s="2"/>
      <c r="P431" s="27"/>
      <c r="Q431" s="2"/>
      <c r="R431" s="2"/>
    </row>
    <row r="432" spans="1:18" x14ac:dyDescent="0.35">
      <c r="A432" s="53">
        <v>135</v>
      </c>
      <c r="B432" s="53" t="s">
        <v>8</v>
      </c>
      <c r="C432" s="53" t="s">
        <v>31</v>
      </c>
      <c r="D432" s="53" t="s">
        <v>21</v>
      </c>
      <c r="E432" s="53" t="s">
        <v>27</v>
      </c>
      <c r="F432" s="54">
        <v>41431.4</v>
      </c>
      <c r="G432" s="53">
        <v>417085</v>
      </c>
      <c r="H432" s="53">
        <v>5332</v>
      </c>
      <c r="I432" s="53">
        <v>1699</v>
      </c>
      <c r="J432" s="54">
        <v>64218.67</v>
      </c>
      <c r="K432" s="55">
        <f t="shared" si="24"/>
        <v>0.54999999999999993</v>
      </c>
      <c r="L432" s="56" t="str">
        <f t="shared" si="25"/>
        <v/>
      </c>
      <c r="M432" s="56">
        <f t="shared" si="26"/>
        <v>0.54999999999999993</v>
      </c>
      <c r="N432" s="56" t="str">
        <f t="shared" si="27"/>
        <v>OK</v>
      </c>
      <c r="O432" s="2"/>
      <c r="P432" s="27"/>
      <c r="Q432" s="2"/>
      <c r="R432" s="2"/>
    </row>
    <row r="433" spans="1:18" x14ac:dyDescent="0.35">
      <c r="A433" s="57">
        <v>572</v>
      </c>
      <c r="B433" s="57" t="s">
        <v>9</v>
      </c>
      <c r="C433" s="57" t="s">
        <v>31</v>
      </c>
      <c r="D433" s="57" t="s">
        <v>18</v>
      </c>
      <c r="E433" s="57" t="s">
        <v>26</v>
      </c>
      <c r="F433" s="58">
        <v>29384.05</v>
      </c>
      <c r="G433" s="57">
        <v>133030</v>
      </c>
      <c r="H433" s="57">
        <v>13658</v>
      </c>
      <c r="I433" s="57">
        <v>1643</v>
      </c>
      <c r="J433" s="58">
        <v>45545.277499999997</v>
      </c>
      <c r="K433" s="55">
        <f t="shared" si="24"/>
        <v>0.54999999999999993</v>
      </c>
      <c r="L433" s="56" t="str">
        <f t="shared" si="25"/>
        <v/>
      </c>
      <c r="M433" s="56">
        <f t="shared" si="26"/>
        <v>0.54999999999999993</v>
      </c>
      <c r="N433" s="56" t="str">
        <f t="shared" si="27"/>
        <v>OK</v>
      </c>
      <c r="O433" s="2"/>
      <c r="P433" s="27"/>
      <c r="Q433" s="2"/>
      <c r="R433" s="2"/>
    </row>
    <row r="434" spans="1:18" x14ac:dyDescent="0.35">
      <c r="A434" s="57">
        <v>234</v>
      </c>
      <c r="B434" s="57" t="s">
        <v>12</v>
      </c>
      <c r="C434" s="57" t="s">
        <v>32</v>
      </c>
      <c r="D434" s="57" t="s">
        <v>22</v>
      </c>
      <c r="E434" s="57" t="s">
        <v>26</v>
      </c>
      <c r="F434" s="58">
        <v>12143.07</v>
      </c>
      <c r="G434" s="57">
        <v>374986</v>
      </c>
      <c r="H434" s="57">
        <v>4234</v>
      </c>
      <c r="I434" s="57">
        <v>922</v>
      </c>
      <c r="J434" s="58">
        <v>18821.7585</v>
      </c>
      <c r="K434" s="55">
        <f t="shared" si="24"/>
        <v>0.55000000000000004</v>
      </c>
      <c r="L434" s="56">
        <f t="shared" si="25"/>
        <v>0.55000000000000004</v>
      </c>
      <c r="M434" s="56" t="str">
        <f t="shared" si="26"/>
        <v/>
      </c>
      <c r="N434" s="56" t="str">
        <f t="shared" si="27"/>
        <v>OK</v>
      </c>
      <c r="O434" s="2"/>
      <c r="P434" s="27"/>
      <c r="Q434" s="2"/>
      <c r="R434" s="2"/>
    </row>
    <row r="435" spans="1:18" x14ac:dyDescent="0.35">
      <c r="A435" s="53">
        <v>489</v>
      </c>
      <c r="B435" s="53" t="s">
        <v>11</v>
      </c>
      <c r="C435" s="53" t="s">
        <v>32</v>
      </c>
      <c r="D435" s="53" t="s">
        <v>18</v>
      </c>
      <c r="E435" s="53" t="s">
        <v>24</v>
      </c>
      <c r="F435" s="54">
        <v>14960.49</v>
      </c>
      <c r="G435" s="53">
        <v>22360</v>
      </c>
      <c r="H435" s="53">
        <v>9207</v>
      </c>
      <c r="I435" s="53">
        <v>1089</v>
      </c>
      <c r="J435" s="54">
        <v>23188.7595</v>
      </c>
      <c r="K435" s="55">
        <f t="shared" si="24"/>
        <v>0.55000000000000004</v>
      </c>
      <c r="L435" s="56">
        <f t="shared" si="25"/>
        <v>0.55000000000000004</v>
      </c>
      <c r="M435" s="56" t="str">
        <f t="shared" si="26"/>
        <v/>
      </c>
      <c r="N435" s="56" t="str">
        <f t="shared" si="27"/>
        <v>OK</v>
      </c>
      <c r="O435" s="2"/>
      <c r="P435" s="27"/>
      <c r="Q435" s="2"/>
      <c r="R435" s="2"/>
    </row>
    <row r="436" spans="1:18" x14ac:dyDescent="0.35">
      <c r="A436" s="53">
        <v>971</v>
      </c>
      <c r="B436" s="53" t="s">
        <v>13</v>
      </c>
      <c r="C436" s="53" t="s">
        <v>32</v>
      </c>
      <c r="D436" s="53" t="s">
        <v>18</v>
      </c>
      <c r="E436" s="53" t="s">
        <v>27</v>
      </c>
      <c r="F436" s="54">
        <v>34043.1</v>
      </c>
      <c r="G436" s="53">
        <v>816608</v>
      </c>
      <c r="H436" s="53">
        <v>10735</v>
      </c>
      <c r="I436" s="53">
        <v>218</v>
      </c>
      <c r="J436" s="54">
        <v>52766.805</v>
      </c>
      <c r="K436" s="55">
        <f t="shared" si="24"/>
        <v>0.55000000000000004</v>
      </c>
      <c r="L436" s="56">
        <f t="shared" si="25"/>
        <v>0.55000000000000004</v>
      </c>
      <c r="M436" s="56" t="str">
        <f t="shared" si="26"/>
        <v/>
      </c>
      <c r="N436" s="56" t="str">
        <f t="shared" si="27"/>
        <v>OK</v>
      </c>
      <c r="O436" s="2"/>
      <c r="P436" s="27"/>
      <c r="Q436" s="2"/>
      <c r="R436" s="2"/>
    </row>
    <row r="437" spans="1:18" x14ac:dyDescent="0.35">
      <c r="A437" s="57">
        <v>110</v>
      </c>
      <c r="B437" s="57" t="s">
        <v>8</v>
      </c>
      <c r="C437" s="57" t="s">
        <v>31</v>
      </c>
      <c r="D437" s="57" t="s">
        <v>19</v>
      </c>
      <c r="E437" s="57" t="s">
        <v>27</v>
      </c>
      <c r="F437" s="58">
        <v>1092.1099999999999</v>
      </c>
      <c r="G437" s="57">
        <v>109003</v>
      </c>
      <c r="H437" s="57">
        <v>10876</v>
      </c>
      <c r="I437" s="57">
        <v>1308</v>
      </c>
      <c r="J437" s="58">
        <v>1692.7705000000001</v>
      </c>
      <c r="K437" s="55">
        <f t="shared" si="24"/>
        <v>0.55000000000000027</v>
      </c>
      <c r="L437" s="56" t="str">
        <f t="shared" si="25"/>
        <v/>
      </c>
      <c r="M437" s="56">
        <f t="shared" si="26"/>
        <v>0.55000000000000027</v>
      </c>
      <c r="N437" s="56" t="str">
        <f t="shared" si="27"/>
        <v>OK</v>
      </c>
      <c r="O437" s="2"/>
      <c r="P437" s="27"/>
      <c r="Q437" s="2"/>
      <c r="R437" s="2"/>
    </row>
    <row r="438" spans="1:18" x14ac:dyDescent="0.35">
      <c r="A438" s="53">
        <v>825</v>
      </c>
      <c r="B438" s="53" t="s">
        <v>13</v>
      </c>
      <c r="C438" s="53" t="s">
        <v>32</v>
      </c>
      <c r="D438" s="53" t="s">
        <v>17</v>
      </c>
      <c r="E438" s="53" t="s">
        <v>28</v>
      </c>
      <c r="F438" s="54">
        <v>43900.05</v>
      </c>
      <c r="G438" s="53">
        <v>414015</v>
      </c>
      <c r="H438" s="53">
        <v>10373</v>
      </c>
      <c r="I438" s="53">
        <v>218</v>
      </c>
      <c r="J438" s="54">
        <v>68484.077999999994</v>
      </c>
      <c r="K438" s="55">
        <f t="shared" si="24"/>
        <v>0.55999999999999972</v>
      </c>
      <c r="L438" s="56">
        <f t="shared" si="25"/>
        <v>0.55999999999999972</v>
      </c>
      <c r="M438" s="56" t="str">
        <f t="shared" si="26"/>
        <v/>
      </c>
      <c r="N438" s="56" t="str">
        <f t="shared" si="27"/>
        <v>OK</v>
      </c>
      <c r="O438" s="2"/>
      <c r="P438" s="27"/>
      <c r="Q438" s="2"/>
      <c r="R438" s="2"/>
    </row>
    <row r="439" spans="1:18" x14ac:dyDescent="0.35">
      <c r="A439" s="53">
        <v>149</v>
      </c>
      <c r="B439" s="53" t="s">
        <v>11</v>
      </c>
      <c r="C439" s="53" t="s">
        <v>32</v>
      </c>
      <c r="D439" s="53" t="s">
        <v>20</v>
      </c>
      <c r="E439" s="53" t="s">
        <v>26</v>
      </c>
      <c r="F439" s="54">
        <v>25312.15</v>
      </c>
      <c r="G439" s="53">
        <v>579383</v>
      </c>
      <c r="H439" s="53">
        <v>19388</v>
      </c>
      <c r="I439" s="53">
        <v>610</v>
      </c>
      <c r="J439" s="54">
        <v>39486.953999999998</v>
      </c>
      <c r="K439" s="55">
        <f t="shared" si="24"/>
        <v>0.55999999999999983</v>
      </c>
      <c r="L439" s="56">
        <f t="shared" si="25"/>
        <v>0.55999999999999983</v>
      </c>
      <c r="M439" s="56" t="str">
        <f t="shared" si="26"/>
        <v/>
      </c>
      <c r="N439" s="56" t="str">
        <f t="shared" si="27"/>
        <v>OK</v>
      </c>
      <c r="O439" s="2"/>
      <c r="P439" s="27"/>
      <c r="Q439" s="2"/>
      <c r="R439" s="2"/>
    </row>
    <row r="440" spans="1:18" x14ac:dyDescent="0.35">
      <c r="A440" s="57">
        <v>942</v>
      </c>
      <c r="B440" s="57" t="s">
        <v>15</v>
      </c>
      <c r="C440" s="57" t="s">
        <v>32</v>
      </c>
      <c r="D440" s="57" t="s">
        <v>21</v>
      </c>
      <c r="E440" s="57" t="s">
        <v>25</v>
      </c>
      <c r="F440" s="58">
        <v>32498.13</v>
      </c>
      <c r="G440" s="57">
        <v>337069</v>
      </c>
      <c r="H440" s="57">
        <v>13258</v>
      </c>
      <c r="I440" s="57">
        <v>1345</v>
      </c>
      <c r="J440" s="58">
        <v>50697.082799999996</v>
      </c>
      <c r="K440" s="55">
        <f t="shared" si="24"/>
        <v>0.55999999999999983</v>
      </c>
      <c r="L440" s="56">
        <f t="shared" si="25"/>
        <v>0.55999999999999983</v>
      </c>
      <c r="M440" s="56" t="str">
        <f t="shared" si="26"/>
        <v/>
      </c>
      <c r="N440" s="56" t="str">
        <f t="shared" si="27"/>
        <v>OK</v>
      </c>
      <c r="O440" s="2"/>
      <c r="P440" s="27"/>
      <c r="Q440" s="2"/>
      <c r="R440" s="2"/>
    </row>
    <row r="441" spans="1:18" x14ac:dyDescent="0.35">
      <c r="A441" s="53">
        <v>509</v>
      </c>
      <c r="B441" s="53" t="s">
        <v>13</v>
      </c>
      <c r="C441" s="53" t="s">
        <v>32</v>
      </c>
      <c r="D441" s="53" t="s">
        <v>21</v>
      </c>
      <c r="E441" s="53" t="s">
        <v>28</v>
      </c>
      <c r="F441" s="54">
        <v>36763.160000000003</v>
      </c>
      <c r="G441" s="53">
        <v>844874</v>
      </c>
      <c r="H441" s="53">
        <v>2330</v>
      </c>
      <c r="I441" s="53">
        <v>1520</v>
      </c>
      <c r="J441" s="54">
        <v>57350.529600000002</v>
      </c>
      <c r="K441" s="55">
        <f t="shared" si="24"/>
        <v>0.55999999999999994</v>
      </c>
      <c r="L441" s="56">
        <f t="shared" si="25"/>
        <v>0.55999999999999994</v>
      </c>
      <c r="M441" s="56" t="str">
        <f t="shared" si="26"/>
        <v/>
      </c>
      <c r="N441" s="56" t="str">
        <f t="shared" si="27"/>
        <v>OK</v>
      </c>
      <c r="O441" s="2"/>
      <c r="P441" s="27"/>
      <c r="Q441" s="2"/>
      <c r="R441" s="2"/>
    </row>
    <row r="442" spans="1:18" x14ac:dyDescent="0.35">
      <c r="A442" s="53">
        <v>651</v>
      </c>
      <c r="B442" s="53" t="s">
        <v>8</v>
      </c>
      <c r="C442" s="53" t="s">
        <v>31</v>
      </c>
      <c r="D442" s="53" t="s">
        <v>22</v>
      </c>
      <c r="E442" s="53" t="s">
        <v>28</v>
      </c>
      <c r="F442" s="54">
        <v>36994.32</v>
      </c>
      <c r="G442" s="53">
        <v>188267</v>
      </c>
      <c r="H442" s="53">
        <v>907</v>
      </c>
      <c r="I442" s="53">
        <v>1693</v>
      </c>
      <c r="J442" s="54">
        <v>57711.139199999998</v>
      </c>
      <c r="K442" s="55">
        <f t="shared" si="24"/>
        <v>0.55999999999999994</v>
      </c>
      <c r="L442" s="56" t="str">
        <f t="shared" si="25"/>
        <v/>
      </c>
      <c r="M442" s="56">
        <f t="shared" si="26"/>
        <v>0.55999999999999994</v>
      </c>
      <c r="N442" s="56" t="str">
        <f t="shared" si="27"/>
        <v>ERROR: Conversions &gt; Clicks</v>
      </c>
      <c r="O442" s="2"/>
      <c r="P442" s="27"/>
      <c r="Q442" s="2"/>
      <c r="R442" s="2"/>
    </row>
    <row r="443" spans="1:18" x14ac:dyDescent="0.35">
      <c r="A443" s="53">
        <v>785</v>
      </c>
      <c r="B443" s="53" t="s">
        <v>14</v>
      </c>
      <c r="C443" s="53" t="s">
        <v>32</v>
      </c>
      <c r="D443" s="53" t="s">
        <v>20</v>
      </c>
      <c r="E443" s="53" t="s">
        <v>29</v>
      </c>
      <c r="F443" s="54">
        <v>45922.79</v>
      </c>
      <c r="G443" s="53">
        <v>840371</v>
      </c>
      <c r="H443" s="53">
        <v>14507</v>
      </c>
      <c r="I443" s="53">
        <v>999</v>
      </c>
      <c r="J443" s="54">
        <v>71639.5524</v>
      </c>
      <c r="K443" s="55">
        <f t="shared" si="24"/>
        <v>0.55999999999999994</v>
      </c>
      <c r="L443" s="56">
        <f t="shared" si="25"/>
        <v>0.55999999999999994</v>
      </c>
      <c r="M443" s="56" t="str">
        <f t="shared" si="26"/>
        <v/>
      </c>
      <c r="N443" s="56" t="str">
        <f t="shared" si="27"/>
        <v>OK</v>
      </c>
      <c r="O443" s="2"/>
      <c r="P443" s="27"/>
      <c r="Q443" s="2"/>
      <c r="R443" s="2"/>
    </row>
    <row r="444" spans="1:18" x14ac:dyDescent="0.35">
      <c r="A444" s="53">
        <v>803</v>
      </c>
      <c r="B444" s="53" t="s">
        <v>11</v>
      </c>
      <c r="C444" s="53" t="s">
        <v>32</v>
      </c>
      <c r="D444" s="53" t="s">
        <v>21</v>
      </c>
      <c r="E444" s="53" t="s">
        <v>25</v>
      </c>
      <c r="F444" s="54">
        <v>47081.98</v>
      </c>
      <c r="G444" s="53">
        <v>708730</v>
      </c>
      <c r="H444" s="53">
        <v>1194</v>
      </c>
      <c r="I444" s="53">
        <v>1163</v>
      </c>
      <c r="J444" s="54">
        <v>73447.888800000001</v>
      </c>
      <c r="K444" s="55">
        <f t="shared" si="24"/>
        <v>0.55999999999999994</v>
      </c>
      <c r="L444" s="56">
        <f t="shared" si="25"/>
        <v>0.55999999999999994</v>
      </c>
      <c r="M444" s="56" t="str">
        <f t="shared" si="26"/>
        <v/>
      </c>
      <c r="N444" s="56" t="str">
        <f t="shared" si="27"/>
        <v>OK</v>
      </c>
      <c r="O444" s="2"/>
      <c r="P444" s="27"/>
      <c r="Q444" s="2"/>
      <c r="R444" s="2"/>
    </row>
    <row r="445" spans="1:18" x14ac:dyDescent="0.35">
      <c r="A445" s="53">
        <v>827</v>
      </c>
      <c r="B445" s="53" t="s">
        <v>9</v>
      </c>
      <c r="C445" s="53" t="s">
        <v>31</v>
      </c>
      <c r="D445" s="53" t="s">
        <v>19</v>
      </c>
      <c r="E445" s="53" t="s">
        <v>29</v>
      </c>
      <c r="F445" s="54">
        <v>14643.53</v>
      </c>
      <c r="G445" s="53">
        <v>432132</v>
      </c>
      <c r="H445" s="53">
        <v>18393</v>
      </c>
      <c r="I445" s="53">
        <v>1163</v>
      </c>
      <c r="J445" s="54">
        <v>22843.906800000001</v>
      </c>
      <c r="K445" s="55">
        <f t="shared" si="24"/>
        <v>0.55999999999999994</v>
      </c>
      <c r="L445" s="56" t="str">
        <f t="shared" si="25"/>
        <v/>
      </c>
      <c r="M445" s="56">
        <f t="shared" si="26"/>
        <v>0.55999999999999994</v>
      </c>
      <c r="N445" s="56" t="str">
        <f t="shared" si="27"/>
        <v>OK</v>
      </c>
      <c r="O445" s="2"/>
      <c r="P445" s="27"/>
      <c r="Q445" s="2"/>
      <c r="R445" s="2"/>
    </row>
    <row r="446" spans="1:18" x14ac:dyDescent="0.35">
      <c r="A446" s="53">
        <v>833</v>
      </c>
      <c r="B446" s="53" t="s">
        <v>9</v>
      </c>
      <c r="C446" s="53" t="s">
        <v>31</v>
      </c>
      <c r="D446" s="53" t="s">
        <v>22</v>
      </c>
      <c r="E446" s="53" t="s">
        <v>26</v>
      </c>
      <c r="F446" s="54">
        <v>32082.65</v>
      </c>
      <c r="G446" s="53">
        <v>916071</v>
      </c>
      <c r="H446" s="53">
        <v>14326</v>
      </c>
      <c r="I446" s="53">
        <v>1139</v>
      </c>
      <c r="J446" s="54">
        <v>50048.934000000001</v>
      </c>
      <c r="K446" s="55">
        <f t="shared" si="24"/>
        <v>0.55999999999999994</v>
      </c>
      <c r="L446" s="56" t="str">
        <f t="shared" si="25"/>
        <v/>
      </c>
      <c r="M446" s="56">
        <f t="shared" si="26"/>
        <v>0.55999999999999994</v>
      </c>
      <c r="N446" s="56" t="str">
        <f t="shared" si="27"/>
        <v>OK</v>
      </c>
      <c r="O446" s="2"/>
      <c r="P446" s="27"/>
      <c r="Q446" s="2"/>
      <c r="R446" s="2"/>
    </row>
    <row r="447" spans="1:18" x14ac:dyDescent="0.35">
      <c r="A447" s="53">
        <v>153</v>
      </c>
      <c r="B447" s="53" t="s">
        <v>11</v>
      </c>
      <c r="C447" s="53" t="s">
        <v>32</v>
      </c>
      <c r="D447" s="53" t="s">
        <v>21</v>
      </c>
      <c r="E447" s="53" t="s">
        <v>25</v>
      </c>
      <c r="F447" s="54">
        <v>37613.760000000002</v>
      </c>
      <c r="G447" s="53">
        <v>72433</v>
      </c>
      <c r="H447" s="53">
        <v>10166</v>
      </c>
      <c r="I447" s="53">
        <v>1986</v>
      </c>
      <c r="J447" s="54">
        <v>58677.465600000003</v>
      </c>
      <c r="K447" s="55">
        <f t="shared" si="24"/>
        <v>0.56000000000000005</v>
      </c>
      <c r="L447" s="56">
        <f t="shared" si="25"/>
        <v>0.56000000000000005</v>
      </c>
      <c r="M447" s="56" t="str">
        <f t="shared" si="26"/>
        <v/>
      </c>
      <c r="N447" s="56" t="str">
        <f t="shared" si="27"/>
        <v>OK</v>
      </c>
      <c r="O447" s="2"/>
      <c r="P447" s="27"/>
      <c r="Q447" s="2"/>
      <c r="R447" s="2"/>
    </row>
    <row r="448" spans="1:18" x14ac:dyDescent="0.35">
      <c r="A448" s="53">
        <v>275</v>
      </c>
      <c r="B448" s="53" t="s">
        <v>11</v>
      </c>
      <c r="C448" s="53" t="s">
        <v>32</v>
      </c>
      <c r="D448" s="53" t="s">
        <v>22</v>
      </c>
      <c r="E448" s="53" t="s">
        <v>29</v>
      </c>
      <c r="F448" s="54">
        <v>20145.689999999999</v>
      </c>
      <c r="G448" s="53">
        <v>519565</v>
      </c>
      <c r="H448" s="53">
        <v>8517</v>
      </c>
      <c r="I448" s="53">
        <v>1977</v>
      </c>
      <c r="J448" s="54">
        <v>31427.276399999999</v>
      </c>
      <c r="K448" s="55">
        <f t="shared" si="24"/>
        <v>0.56000000000000005</v>
      </c>
      <c r="L448" s="56">
        <f t="shared" si="25"/>
        <v>0.56000000000000005</v>
      </c>
      <c r="M448" s="56" t="str">
        <f t="shared" si="26"/>
        <v/>
      </c>
      <c r="N448" s="56" t="str">
        <f t="shared" si="27"/>
        <v>OK</v>
      </c>
      <c r="O448" s="2"/>
      <c r="P448" s="27"/>
      <c r="Q448" s="2"/>
      <c r="R448" s="2"/>
    </row>
    <row r="449" spans="1:18" x14ac:dyDescent="0.35">
      <c r="A449" s="53">
        <v>873</v>
      </c>
      <c r="B449" s="53" t="s">
        <v>14</v>
      </c>
      <c r="C449" s="53" t="s">
        <v>32</v>
      </c>
      <c r="D449" s="53" t="s">
        <v>18</v>
      </c>
      <c r="E449" s="53" t="s">
        <v>28</v>
      </c>
      <c r="F449" s="54">
        <v>12852.56</v>
      </c>
      <c r="G449" s="53">
        <v>286815</v>
      </c>
      <c r="H449" s="53">
        <v>5102</v>
      </c>
      <c r="I449" s="53">
        <v>1177</v>
      </c>
      <c r="J449" s="54">
        <v>20049.993600000002</v>
      </c>
      <c r="K449" s="55">
        <f t="shared" si="24"/>
        <v>0.56000000000000016</v>
      </c>
      <c r="L449" s="56">
        <f t="shared" si="25"/>
        <v>0.56000000000000016</v>
      </c>
      <c r="M449" s="56" t="str">
        <f t="shared" si="26"/>
        <v/>
      </c>
      <c r="N449" s="56" t="str">
        <f t="shared" si="27"/>
        <v>OK</v>
      </c>
      <c r="O449" s="2"/>
      <c r="P449" s="27"/>
      <c r="Q449" s="2"/>
      <c r="R449" s="2"/>
    </row>
    <row r="450" spans="1:18" x14ac:dyDescent="0.35">
      <c r="A450" s="57">
        <v>26</v>
      </c>
      <c r="B450" s="57" t="s">
        <v>10</v>
      </c>
      <c r="C450" s="57" t="s">
        <v>31</v>
      </c>
      <c r="D450" s="57" t="s">
        <v>18</v>
      </c>
      <c r="E450" s="57" t="s">
        <v>24</v>
      </c>
      <c r="F450" s="58">
        <v>8675.2800000000007</v>
      </c>
      <c r="G450" s="57">
        <v>670327</v>
      </c>
      <c r="H450" s="57">
        <v>16867</v>
      </c>
      <c r="I450" s="57">
        <v>1958</v>
      </c>
      <c r="J450" s="58">
        <v>13620.1896</v>
      </c>
      <c r="K450" s="55">
        <f t="shared" ref="K450:K513" si="28">(J450-F450)/F450</f>
        <v>0.56999999999999984</v>
      </c>
      <c r="L450" s="56" t="str">
        <f t="shared" ref="L450:L513" si="29">IF(C450="Digital",K450,"")</f>
        <v/>
      </c>
      <c r="M450" s="56">
        <f t="shared" ref="M450:M513" si="30">IF(C450="Traditional",K450,"")</f>
        <v>0.56999999999999984</v>
      </c>
      <c r="N450" s="56" t="str">
        <f t="shared" ref="N450:N513" si="31">IF(H450&gt;G450,"ERROR: Clicks &gt; Impressions",IF(I450&gt;H450,"ERROR: Conversions &gt; Clicks","OK"))</f>
        <v>OK</v>
      </c>
      <c r="O450" s="2"/>
      <c r="P450" s="27"/>
      <c r="Q450" s="2"/>
      <c r="R450" s="2"/>
    </row>
    <row r="451" spans="1:18" x14ac:dyDescent="0.35">
      <c r="A451" s="53">
        <v>487</v>
      </c>
      <c r="B451" s="53" t="s">
        <v>9</v>
      </c>
      <c r="C451" s="53" t="s">
        <v>31</v>
      </c>
      <c r="D451" s="53" t="s">
        <v>20</v>
      </c>
      <c r="E451" s="53" t="s">
        <v>25</v>
      </c>
      <c r="F451" s="54">
        <v>41832.54</v>
      </c>
      <c r="G451" s="53">
        <v>797738</v>
      </c>
      <c r="H451" s="53">
        <v>17580</v>
      </c>
      <c r="I451" s="53">
        <v>1125</v>
      </c>
      <c r="J451" s="54">
        <v>65677.087799999994</v>
      </c>
      <c r="K451" s="55">
        <f t="shared" si="28"/>
        <v>0.56999999999999984</v>
      </c>
      <c r="L451" s="56" t="str">
        <f t="shared" si="29"/>
        <v/>
      </c>
      <c r="M451" s="56">
        <f t="shared" si="30"/>
        <v>0.56999999999999984</v>
      </c>
      <c r="N451" s="56" t="str">
        <f t="shared" si="31"/>
        <v>OK</v>
      </c>
      <c r="O451" s="2"/>
      <c r="P451" s="27"/>
      <c r="Q451" s="2"/>
      <c r="R451" s="2"/>
    </row>
    <row r="452" spans="1:18" x14ac:dyDescent="0.35">
      <c r="A452" s="57">
        <v>608</v>
      </c>
      <c r="B452" s="57" t="s">
        <v>13</v>
      </c>
      <c r="C452" s="57" t="s">
        <v>32</v>
      </c>
      <c r="D452" s="57" t="s">
        <v>19</v>
      </c>
      <c r="E452" s="57" t="s">
        <v>28</v>
      </c>
      <c r="F452" s="58">
        <v>11234.34</v>
      </c>
      <c r="G452" s="57">
        <v>647431</v>
      </c>
      <c r="H452" s="57">
        <v>9375</v>
      </c>
      <c r="I452" s="57">
        <v>928</v>
      </c>
      <c r="J452" s="58">
        <v>17637.913799999998</v>
      </c>
      <c r="K452" s="55">
        <f t="shared" si="28"/>
        <v>0.56999999999999984</v>
      </c>
      <c r="L452" s="56">
        <f t="shared" si="29"/>
        <v>0.56999999999999984</v>
      </c>
      <c r="M452" s="56" t="str">
        <f t="shared" si="30"/>
        <v/>
      </c>
      <c r="N452" s="56" t="str">
        <f t="shared" si="31"/>
        <v>OK</v>
      </c>
      <c r="O452" s="2"/>
      <c r="P452" s="27"/>
      <c r="Q452" s="2"/>
      <c r="R452" s="2"/>
    </row>
    <row r="453" spans="1:18" x14ac:dyDescent="0.35">
      <c r="A453" s="53">
        <v>181</v>
      </c>
      <c r="B453" s="53" t="s">
        <v>15</v>
      </c>
      <c r="C453" s="53" t="s">
        <v>32</v>
      </c>
      <c r="D453" s="53" t="s">
        <v>21</v>
      </c>
      <c r="E453" s="53" t="s">
        <v>28</v>
      </c>
      <c r="F453" s="54">
        <v>3806.73</v>
      </c>
      <c r="G453" s="53">
        <v>773529</v>
      </c>
      <c r="H453" s="53">
        <v>9902</v>
      </c>
      <c r="I453" s="53">
        <v>791</v>
      </c>
      <c r="J453" s="54">
        <v>5976.5661</v>
      </c>
      <c r="K453" s="55">
        <f t="shared" si="28"/>
        <v>0.56999999999999995</v>
      </c>
      <c r="L453" s="56">
        <f t="shared" si="29"/>
        <v>0.56999999999999995</v>
      </c>
      <c r="M453" s="56" t="str">
        <f t="shared" si="30"/>
        <v/>
      </c>
      <c r="N453" s="56" t="str">
        <f t="shared" si="31"/>
        <v>OK</v>
      </c>
      <c r="O453" s="2"/>
      <c r="P453" s="27"/>
      <c r="Q453" s="2"/>
      <c r="R453" s="2"/>
    </row>
    <row r="454" spans="1:18" x14ac:dyDescent="0.35">
      <c r="A454" s="53">
        <v>717</v>
      </c>
      <c r="B454" s="53" t="s">
        <v>9</v>
      </c>
      <c r="C454" s="53" t="s">
        <v>31</v>
      </c>
      <c r="D454" s="53" t="s">
        <v>22</v>
      </c>
      <c r="E454" s="53" t="s">
        <v>29</v>
      </c>
      <c r="F454" s="54">
        <v>26900.33</v>
      </c>
      <c r="G454" s="53">
        <v>363827</v>
      </c>
      <c r="H454" s="53">
        <v>7801</v>
      </c>
      <c r="I454" s="53">
        <v>1781</v>
      </c>
      <c r="J454" s="54">
        <v>42233.518100000001</v>
      </c>
      <c r="K454" s="55">
        <f t="shared" si="28"/>
        <v>0.56999999999999995</v>
      </c>
      <c r="L454" s="56" t="str">
        <f t="shared" si="29"/>
        <v/>
      </c>
      <c r="M454" s="56">
        <f t="shared" si="30"/>
        <v>0.56999999999999995</v>
      </c>
      <c r="N454" s="56" t="str">
        <f t="shared" si="31"/>
        <v>OK</v>
      </c>
      <c r="O454" s="2"/>
      <c r="P454" s="27"/>
      <c r="Q454" s="2"/>
      <c r="R454" s="2"/>
    </row>
    <row r="455" spans="1:18" x14ac:dyDescent="0.35">
      <c r="A455" s="57">
        <v>74</v>
      </c>
      <c r="B455" s="57" t="s">
        <v>14</v>
      </c>
      <c r="C455" s="57" t="s">
        <v>32</v>
      </c>
      <c r="D455" s="57" t="s">
        <v>19</v>
      </c>
      <c r="E455" s="57" t="s">
        <v>27</v>
      </c>
      <c r="F455" s="58">
        <v>22256.23</v>
      </c>
      <c r="G455" s="57">
        <v>598099</v>
      </c>
      <c r="H455" s="57">
        <v>12131</v>
      </c>
      <c r="I455" s="57">
        <v>1509</v>
      </c>
      <c r="J455" s="58">
        <v>34942.2811</v>
      </c>
      <c r="K455" s="55">
        <f t="shared" si="28"/>
        <v>0.57000000000000006</v>
      </c>
      <c r="L455" s="56">
        <f t="shared" si="29"/>
        <v>0.57000000000000006</v>
      </c>
      <c r="M455" s="56" t="str">
        <f t="shared" si="30"/>
        <v/>
      </c>
      <c r="N455" s="56" t="str">
        <f t="shared" si="31"/>
        <v>OK</v>
      </c>
      <c r="O455" s="2"/>
      <c r="P455" s="27"/>
      <c r="Q455" s="2"/>
      <c r="R455" s="2"/>
    </row>
    <row r="456" spans="1:18" x14ac:dyDescent="0.35">
      <c r="A456" s="57">
        <v>836</v>
      </c>
      <c r="B456" s="57" t="s">
        <v>12</v>
      </c>
      <c r="C456" s="57" t="s">
        <v>32</v>
      </c>
      <c r="D456" s="57" t="s">
        <v>17</v>
      </c>
      <c r="E456" s="57" t="s">
        <v>26</v>
      </c>
      <c r="F456" s="58">
        <v>25429.97</v>
      </c>
      <c r="G456" s="57">
        <v>857942</v>
      </c>
      <c r="H456" s="57">
        <v>3506</v>
      </c>
      <c r="I456" s="57">
        <v>1740</v>
      </c>
      <c r="J456" s="58">
        <v>39925.052900000002</v>
      </c>
      <c r="K456" s="55">
        <f t="shared" si="28"/>
        <v>0.57000000000000006</v>
      </c>
      <c r="L456" s="56">
        <f t="shared" si="29"/>
        <v>0.57000000000000006</v>
      </c>
      <c r="M456" s="56" t="str">
        <f t="shared" si="30"/>
        <v/>
      </c>
      <c r="N456" s="56" t="str">
        <f t="shared" si="31"/>
        <v>OK</v>
      </c>
      <c r="O456" s="2"/>
      <c r="P456" s="27"/>
      <c r="Q456" s="2"/>
      <c r="R456" s="2"/>
    </row>
    <row r="457" spans="1:18" x14ac:dyDescent="0.35">
      <c r="A457" s="53">
        <v>879</v>
      </c>
      <c r="B457" s="53" t="s">
        <v>15</v>
      </c>
      <c r="C457" s="53" t="s">
        <v>32</v>
      </c>
      <c r="D457" s="53" t="s">
        <v>20</v>
      </c>
      <c r="E457" s="53" t="s">
        <v>26</v>
      </c>
      <c r="F457" s="54">
        <v>37073.82</v>
      </c>
      <c r="G457" s="53">
        <v>367574</v>
      </c>
      <c r="H457" s="53">
        <v>12084</v>
      </c>
      <c r="I457" s="53">
        <v>1755</v>
      </c>
      <c r="J457" s="54">
        <v>58205.897400000002</v>
      </c>
      <c r="K457" s="55">
        <f t="shared" si="28"/>
        <v>0.57000000000000006</v>
      </c>
      <c r="L457" s="56">
        <f t="shared" si="29"/>
        <v>0.57000000000000006</v>
      </c>
      <c r="M457" s="56" t="str">
        <f t="shared" si="30"/>
        <v/>
      </c>
      <c r="N457" s="56" t="str">
        <f t="shared" si="31"/>
        <v>OK</v>
      </c>
      <c r="O457" s="2"/>
      <c r="P457" s="27"/>
      <c r="Q457" s="2"/>
      <c r="R457" s="2"/>
    </row>
    <row r="458" spans="1:18" x14ac:dyDescent="0.35">
      <c r="A458" s="57">
        <v>402</v>
      </c>
      <c r="B458" s="57" t="s">
        <v>12</v>
      </c>
      <c r="C458" s="57" t="s">
        <v>32</v>
      </c>
      <c r="D458" s="57" t="s">
        <v>21</v>
      </c>
      <c r="E458" s="57" t="s">
        <v>29</v>
      </c>
      <c r="F458" s="58">
        <v>42133.58</v>
      </c>
      <c r="G458" s="57">
        <v>349933</v>
      </c>
      <c r="H458" s="57">
        <v>3535</v>
      </c>
      <c r="I458" s="57">
        <v>132</v>
      </c>
      <c r="J458" s="58">
        <v>66571.056400000001</v>
      </c>
      <c r="K458" s="55">
        <f t="shared" si="28"/>
        <v>0.57999999999999996</v>
      </c>
      <c r="L458" s="56">
        <f t="shared" si="29"/>
        <v>0.57999999999999996</v>
      </c>
      <c r="M458" s="56" t="str">
        <f t="shared" si="30"/>
        <v/>
      </c>
      <c r="N458" s="56" t="str">
        <f t="shared" si="31"/>
        <v>OK</v>
      </c>
      <c r="O458" s="2"/>
      <c r="P458" s="27"/>
      <c r="Q458" s="2"/>
      <c r="R458" s="2"/>
    </row>
    <row r="459" spans="1:18" x14ac:dyDescent="0.35">
      <c r="A459" s="53">
        <v>605</v>
      </c>
      <c r="B459" s="53" t="s">
        <v>8</v>
      </c>
      <c r="C459" s="53" t="s">
        <v>31</v>
      </c>
      <c r="D459" s="53" t="s">
        <v>21</v>
      </c>
      <c r="E459" s="53" t="s">
        <v>26</v>
      </c>
      <c r="F459" s="54">
        <v>27063.72</v>
      </c>
      <c r="G459" s="53">
        <v>410826</v>
      </c>
      <c r="H459" s="53">
        <v>2562</v>
      </c>
      <c r="I459" s="53">
        <v>1376</v>
      </c>
      <c r="J459" s="54">
        <v>42760.677600000003</v>
      </c>
      <c r="K459" s="55">
        <f t="shared" si="28"/>
        <v>0.58000000000000007</v>
      </c>
      <c r="L459" s="56" t="str">
        <f t="shared" si="29"/>
        <v/>
      </c>
      <c r="M459" s="56">
        <f t="shared" si="30"/>
        <v>0.58000000000000007</v>
      </c>
      <c r="N459" s="56" t="str">
        <f t="shared" si="31"/>
        <v>OK</v>
      </c>
      <c r="O459" s="2"/>
      <c r="P459" s="27"/>
      <c r="Q459" s="2"/>
      <c r="R459" s="2"/>
    </row>
    <row r="460" spans="1:18" x14ac:dyDescent="0.35">
      <c r="A460" s="53">
        <v>623</v>
      </c>
      <c r="B460" s="53" t="s">
        <v>8</v>
      </c>
      <c r="C460" s="53" t="s">
        <v>31</v>
      </c>
      <c r="D460" s="53" t="s">
        <v>22</v>
      </c>
      <c r="E460" s="53" t="s">
        <v>24</v>
      </c>
      <c r="F460" s="54">
        <v>5321.88</v>
      </c>
      <c r="G460" s="53">
        <v>689530</v>
      </c>
      <c r="H460" s="53">
        <v>11226</v>
      </c>
      <c r="I460" s="53">
        <v>949</v>
      </c>
      <c r="J460" s="54">
        <v>8408.5704000000005</v>
      </c>
      <c r="K460" s="55">
        <f t="shared" si="28"/>
        <v>0.58000000000000007</v>
      </c>
      <c r="L460" s="56" t="str">
        <f t="shared" si="29"/>
        <v/>
      </c>
      <c r="M460" s="56">
        <f t="shared" si="30"/>
        <v>0.58000000000000007</v>
      </c>
      <c r="N460" s="56" t="str">
        <f t="shared" si="31"/>
        <v>OK</v>
      </c>
      <c r="O460" s="2"/>
      <c r="P460" s="27"/>
      <c r="Q460" s="2"/>
      <c r="R460" s="2"/>
    </row>
    <row r="461" spans="1:18" x14ac:dyDescent="0.35">
      <c r="A461" s="57">
        <v>814</v>
      </c>
      <c r="B461" s="57" t="s">
        <v>12</v>
      </c>
      <c r="C461" s="57" t="s">
        <v>32</v>
      </c>
      <c r="D461" s="57" t="s">
        <v>21</v>
      </c>
      <c r="E461" s="57" t="s">
        <v>25</v>
      </c>
      <c r="F461" s="58">
        <v>19488.37</v>
      </c>
      <c r="G461" s="57">
        <v>494273</v>
      </c>
      <c r="H461" s="57">
        <v>14716</v>
      </c>
      <c r="I461" s="57">
        <v>1702</v>
      </c>
      <c r="J461" s="58">
        <v>30791.624599999999</v>
      </c>
      <c r="K461" s="55">
        <f t="shared" si="28"/>
        <v>0.58000000000000007</v>
      </c>
      <c r="L461" s="56">
        <f t="shared" si="29"/>
        <v>0.58000000000000007</v>
      </c>
      <c r="M461" s="56" t="str">
        <f t="shared" si="30"/>
        <v/>
      </c>
      <c r="N461" s="56" t="str">
        <f t="shared" si="31"/>
        <v>OK</v>
      </c>
      <c r="O461" s="2"/>
      <c r="P461" s="27"/>
      <c r="Q461" s="2"/>
      <c r="R461" s="2"/>
    </row>
    <row r="462" spans="1:18" x14ac:dyDescent="0.35">
      <c r="A462" s="57">
        <v>406</v>
      </c>
      <c r="B462" s="57" t="s">
        <v>12</v>
      </c>
      <c r="C462" s="57" t="s">
        <v>32</v>
      </c>
      <c r="D462" s="57" t="s">
        <v>22</v>
      </c>
      <c r="E462" s="57" t="s">
        <v>28</v>
      </c>
      <c r="F462" s="58">
        <v>31783.67</v>
      </c>
      <c r="G462" s="57">
        <v>507952</v>
      </c>
      <c r="H462" s="57">
        <v>10723</v>
      </c>
      <c r="I462" s="57">
        <v>787</v>
      </c>
      <c r="J462" s="58">
        <v>50218.198600000003</v>
      </c>
      <c r="K462" s="55">
        <f t="shared" si="28"/>
        <v>0.58000000000000018</v>
      </c>
      <c r="L462" s="56">
        <f t="shared" si="29"/>
        <v>0.58000000000000018</v>
      </c>
      <c r="M462" s="56" t="str">
        <f t="shared" si="30"/>
        <v/>
      </c>
      <c r="N462" s="56" t="str">
        <f t="shared" si="31"/>
        <v>OK</v>
      </c>
      <c r="O462" s="2"/>
      <c r="P462" s="27"/>
      <c r="Q462" s="2"/>
      <c r="R462" s="2"/>
    </row>
    <row r="463" spans="1:18" x14ac:dyDescent="0.35">
      <c r="A463" s="57">
        <v>568</v>
      </c>
      <c r="B463" s="57" t="s">
        <v>13</v>
      </c>
      <c r="C463" s="57" t="s">
        <v>32</v>
      </c>
      <c r="D463" s="57" t="s">
        <v>21</v>
      </c>
      <c r="E463" s="57" t="s">
        <v>29</v>
      </c>
      <c r="F463" s="58">
        <v>29923.99</v>
      </c>
      <c r="G463" s="57">
        <v>366007</v>
      </c>
      <c r="H463" s="57">
        <v>4061</v>
      </c>
      <c r="I463" s="57">
        <v>1210</v>
      </c>
      <c r="J463" s="58">
        <v>47579.144099999998</v>
      </c>
      <c r="K463" s="55">
        <f t="shared" si="28"/>
        <v>0.58999999999999986</v>
      </c>
      <c r="L463" s="56">
        <f t="shared" si="29"/>
        <v>0.58999999999999986</v>
      </c>
      <c r="M463" s="56" t="str">
        <f t="shared" si="30"/>
        <v/>
      </c>
      <c r="N463" s="56" t="str">
        <f t="shared" si="31"/>
        <v>OK</v>
      </c>
      <c r="O463" s="2"/>
      <c r="P463" s="27"/>
      <c r="Q463" s="2"/>
      <c r="R463" s="2"/>
    </row>
    <row r="464" spans="1:18" x14ac:dyDescent="0.35">
      <c r="A464" s="53">
        <v>19</v>
      </c>
      <c r="B464" s="53" t="s">
        <v>13</v>
      </c>
      <c r="C464" s="53" t="s">
        <v>32</v>
      </c>
      <c r="D464" s="53" t="s">
        <v>20</v>
      </c>
      <c r="E464" s="53" t="s">
        <v>24</v>
      </c>
      <c r="F464" s="54">
        <v>7136.44</v>
      </c>
      <c r="G464" s="53">
        <v>702137</v>
      </c>
      <c r="H464" s="53">
        <v>6639</v>
      </c>
      <c r="I464" s="53">
        <v>949</v>
      </c>
      <c r="J464" s="54">
        <v>11346.9396</v>
      </c>
      <c r="K464" s="55">
        <f t="shared" si="28"/>
        <v>0.59000000000000008</v>
      </c>
      <c r="L464" s="56">
        <f t="shared" si="29"/>
        <v>0.59000000000000008</v>
      </c>
      <c r="M464" s="56" t="str">
        <f t="shared" si="30"/>
        <v/>
      </c>
      <c r="N464" s="56" t="str">
        <f t="shared" si="31"/>
        <v>OK</v>
      </c>
      <c r="O464" s="2"/>
      <c r="P464" s="27"/>
      <c r="Q464" s="2"/>
      <c r="R464" s="2"/>
    </row>
    <row r="465" spans="1:18" x14ac:dyDescent="0.35">
      <c r="A465" s="57">
        <v>280</v>
      </c>
      <c r="B465" s="57" t="s">
        <v>14</v>
      </c>
      <c r="C465" s="57" t="s">
        <v>32</v>
      </c>
      <c r="D465" s="57" t="s">
        <v>21</v>
      </c>
      <c r="E465" s="57" t="s">
        <v>28</v>
      </c>
      <c r="F465" s="58">
        <v>5576.99</v>
      </c>
      <c r="G465" s="57">
        <v>600504</v>
      </c>
      <c r="H465" s="57">
        <v>13323</v>
      </c>
      <c r="I465" s="57">
        <v>1703</v>
      </c>
      <c r="J465" s="58">
        <v>8867.4141</v>
      </c>
      <c r="K465" s="55">
        <f t="shared" si="28"/>
        <v>0.59000000000000008</v>
      </c>
      <c r="L465" s="56">
        <f t="shared" si="29"/>
        <v>0.59000000000000008</v>
      </c>
      <c r="M465" s="56" t="str">
        <f t="shared" si="30"/>
        <v/>
      </c>
      <c r="N465" s="56" t="str">
        <f t="shared" si="31"/>
        <v>OK</v>
      </c>
      <c r="O465" s="2"/>
      <c r="P465" s="27"/>
      <c r="Q465" s="2"/>
      <c r="R465" s="2"/>
    </row>
    <row r="466" spans="1:18" x14ac:dyDescent="0.35">
      <c r="A466" s="53">
        <v>413</v>
      </c>
      <c r="B466" s="53" t="s">
        <v>10</v>
      </c>
      <c r="C466" s="53" t="s">
        <v>31</v>
      </c>
      <c r="D466" s="53" t="s">
        <v>22</v>
      </c>
      <c r="E466" s="53" t="s">
        <v>24</v>
      </c>
      <c r="F466" s="54">
        <v>13902.47</v>
      </c>
      <c r="G466" s="53">
        <v>85277</v>
      </c>
      <c r="H466" s="53">
        <v>14254</v>
      </c>
      <c r="I466" s="53">
        <v>632</v>
      </c>
      <c r="J466" s="54">
        <v>22104.927299999999</v>
      </c>
      <c r="K466" s="55">
        <f t="shared" si="28"/>
        <v>0.59000000000000008</v>
      </c>
      <c r="L466" s="56" t="str">
        <f t="shared" si="29"/>
        <v/>
      </c>
      <c r="M466" s="56">
        <f t="shared" si="30"/>
        <v>0.59000000000000008</v>
      </c>
      <c r="N466" s="56" t="str">
        <f t="shared" si="31"/>
        <v>OK</v>
      </c>
      <c r="O466" s="2"/>
      <c r="P466" s="27"/>
      <c r="Q466" s="2"/>
      <c r="R466" s="2"/>
    </row>
    <row r="467" spans="1:18" x14ac:dyDescent="0.35">
      <c r="A467" s="57">
        <v>886</v>
      </c>
      <c r="B467" s="57" t="s">
        <v>15</v>
      </c>
      <c r="C467" s="57" t="s">
        <v>32</v>
      </c>
      <c r="D467" s="57" t="s">
        <v>22</v>
      </c>
      <c r="E467" s="57" t="s">
        <v>29</v>
      </c>
      <c r="F467" s="58">
        <v>20484.73</v>
      </c>
      <c r="G467" s="57">
        <v>14994</v>
      </c>
      <c r="H467" s="57">
        <v>6653</v>
      </c>
      <c r="I467" s="57">
        <v>1736</v>
      </c>
      <c r="J467" s="58">
        <v>32570.720700000002</v>
      </c>
      <c r="K467" s="55">
        <f t="shared" si="28"/>
        <v>0.59000000000000008</v>
      </c>
      <c r="L467" s="56">
        <f t="shared" si="29"/>
        <v>0.59000000000000008</v>
      </c>
      <c r="M467" s="56" t="str">
        <f t="shared" si="30"/>
        <v/>
      </c>
      <c r="N467" s="56" t="str">
        <f t="shared" si="31"/>
        <v>OK</v>
      </c>
      <c r="O467" s="2"/>
      <c r="P467" s="27"/>
      <c r="Q467" s="2"/>
      <c r="R467" s="2"/>
    </row>
    <row r="468" spans="1:18" x14ac:dyDescent="0.35">
      <c r="A468" s="53">
        <v>911</v>
      </c>
      <c r="B468" s="53" t="s">
        <v>9</v>
      </c>
      <c r="C468" s="53" t="s">
        <v>31</v>
      </c>
      <c r="D468" s="53" t="s">
        <v>22</v>
      </c>
      <c r="E468" s="53" t="s">
        <v>29</v>
      </c>
      <c r="F468" s="54">
        <v>41658.39</v>
      </c>
      <c r="G468" s="53">
        <v>571836</v>
      </c>
      <c r="H468" s="53">
        <v>9136</v>
      </c>
      <c r="I468" s="53">
        <v>903</v>
      </c>
      <c r="J468" s="54">
        <v>66236.840100000001</v>
      </c>
      <c r="K468" s="55">
        <f t="shared" si="28"/>
        <v>0.59000000000000008</v>
      </c>
      <c r="L468" s="56" t="str">
        <f t="shared" si="29"/>
        <v/>
      </c>
      <c r="M468" s="56">
        <f t="shared" si="30"/>
        <v>0.59000000000000008</v>
      </c>
      <c r="N468" s="56" t="str">
        <f t="shared" si="31"/>
        <v>OK</v>
      </c>
      <c r="O468" s="2"/>
      <c r="P468" s="27"/>
      <c r="Q468" s="2"/>
      <c r="R468" s="2"/>
    </row>
    <row r="469" spans="1:18" x14ac:dyDescent="0.35">
      <c r="A469" s="53">
        <v>207</v>
      </c>
      <c r="B469" s="53" t="s">
        <v>13</v>
      </c>
      <c r="C469" s="53" t="s">
        <v>32</v>
      </c>
      <c r="D469" s="53" t="s">
        <v>20</v>
      </c>
      <c r="E469" s="53" t="s">
        <v>24</v>
      </c>
      <c r="F469" s="54">
        <v>5234.8100000000004</v>
      </c>
      <c r="G469" s="53">
        <v>438733</v>
      </c>
      <c r="H469" s="53">
        <v>5850</v>
      </c>
      <c r="I469" s="53">
        <v>431</v>
      </c>
      <c r="J469" s="54">
        <v>8375.6959999999999</v>
      </c>
      <c r="K469" s="55">
        <f t="shared" si="28"/>
        <v>0.59999999999999987</v>
      </c>
      <c r="L469" s="56">
        <f t="shared" si="29"/>
        <v>0.59999999999999987</v>
      </c>
      <c r="M469" s="56" t="str">
        <f t="shared" si="30"/>
        <v/>
      </c>
      <c r="N469" s="56" t="str">
        <f t="shared" si="31"/>
        <v>OK</v>
      </c>
      <c r="O469" s="2"/>
      <c r="P469" s="27"/>
      <c r="Q469" s="2"/>
      <c r="R469" s="2"/>
    </row>
    <row r="470" spans="1:18" x14ac:dyDescent="0.35">
      <c r="A470" s="53">
        <v>643</v>
      </c>
      <c r="B470" s="53" t="s">
        <v>13</v>
      </c>
      <c r="C470" s="53" t="s">
        <v>32</v>
      </c>
      <c r="D470" s="53" t="s">
        <v>18</v>
      </c>
      <c r="E470" s="53" t="s">
        <v>27</v>
      </c>
      <c r="F470" s="54">
        <v>27696.560000000001</v>
      </c>
      <c r="G470" s="53">
        <v>487177</v>
      </c>
      <c r="H470" s="53">
        <v>15261</v>
      </c>
      <c r="I470" s="53">
        <v>542</v>
      </c>
      <c r="J470" s="54">
        <v>44314.495999999999</v>
      </c>
      <c r="K470" s="55">
        <f t="shared" si="28"/>
        <v>0.59999999999999987</v>
      </c>
      <c r="L470" s="56">
        <f t="shared" si="29"/>
        <v>0.59999999999999987</v>
      </c>
      <c r="M470" s="56" t="str">
        <f t="shared" si="30"/>
        <v/>
      </c>
      <c r="N470" s="56" t="str">
        <f t="shared" si="31"/>
        <v>OK</v>
      </c>
      <c r="O470" s="2"/>
      <c r="P470" s="27"/>
      <c r="Q470" s="2"/>
      <c r="R470" s="2"/>
    </row>
    <row r="471" spans="1:18" x14ac:dyDescent="0.35">
      <c r="A471" s="53">
        <v>29</v>
      </c>
      <c r="B471" s="53" t="s">
        <v>13</v>
      </c>
      <c r="C471" s="53" t="s">
        <v>32</v>
      </c>
      <c r="D471" s="53" t="s">
        <v>20</v>
      </c>
      <c r="E471" s="53" t="s">
        <v>27</v>
      </c>
      <c r="F471" s="54">
        <v>30328.05</v>
      </c>
      <c r="G471" s="53">
        <v>446679</v>
      </c>
      <c r="H471" s="53">
        <v>4434</v>
      </c>
      <c r="I471" s="53">
        <v>537</v>
      </c>
      <c r="J471" s="54">
        <v>48524.88</v>
      </c>
      <c r="K471" s="55">
        <f t="shared" si="28"/>
        <v>0.6</v>
      </c>
      <c r="L471" s="56">
        <f t="shared" si="29"/>
        <v>0.6</v>
      </c>
      <c r="M471" s="56" t="str">
        <f t="shared" si="30"/>
        <v/>
      </c>
      <c r="N471" s="56" t="str">
        <f t="shared" si="31"/>
        <v>OK</v>
      </c>
      <c r="O471" s="2"/>
      <c r="P471" s="27"/>
      <c r="Q471" s="2"/>
      <c r="R471" s="2"/>
    </row>
    <row r="472" spans="1:18" x14ac:dyDescent="0.35">
      <c r="A472" s="57">
        <v>206</v>
      </c>
      <c r="B472" s="57" t="s">
        <v>15</v>
      </c>
      <c r="C472" s="57" t="s">
        <v>32</v>
      </c>
      <c r="D472" s="57" t="s">
        <v>17</v>
      </c>
      <c r="E472" s="57" t="s">
        <v>25</v>
      </c>
      <c r="F472" s="58">
        <v>38821.03</v>
      </c>
      <c r="G472" s="57">
        <v>202029</v>
      </c>
      <c r="H472" s="57">
        <v>14815</v>
      </c>
      <c r="I472" s="57">
        <v>515</v>
      </c>
      <c r="J472" s="58">
        <v>62113.648000000001</v>
      </c>
      <c r="K472" s="55">
        <f t="shared" si="28"/>
        <v>0.60000000000000009</v>
      </c>
      <c r="L472" s="56">
        <f t="shared" si="29"/>
        <v>0.60000000000000009</v>
      </c>
      <c r="M472" s="56" t="str">
        <f t="shared" si="30"/>
        <v/>
      </c>
      <c r="N472" s="56" t="str">
        <f t="shared" si="31"/>
        <v>OK</v>
      </c>
      <c r="O472" s="2"/>
      <c r="P472" s="27"/>
      <c r="Q472" s="2"/>
      <c r="R472" s="2"/>
    </row>
    <row r="473" spans="1:18" x14ac:dyDescent="0.35">
      <c r="A473" s="57">
        <v>658</v>
      </c>
      <c r="B473" s="57" t="s">
        <v>9</v>
      </c>
      <c r="C473" s="57" t="s">
        <v>31</v>
      </c>
      <c r="D473" s="57" t="s">
        <v>17</v>
      </c>
      <c r="E473" s="57" t="s">
        <v>25</v>
      </c>
      <c r="F473" s="58">
        <v>42775.33</v>
      </c>
      <c r="G473" s="57">
        <v>923081</v>
      </c>
      <c r="H473" s="57">
        <v>18768</v>
      </c>
      <c r="I473" s="57">
        <v>946</v>
      </c>
      <c r="J473" s="58">
        <v>68440.528000000006</v>
      </c>
      <c r="K473" s="55">
        <f t="shared" si="28"/>
        <v>0.60000000000000009</v>
      </c>
      <c r="L473" s="56" t="str">
        <f t="shared" si="29"/>
        <v/>
      </c>
      <c r="M473" s="56">
        <f t="shared" si="30"/>
        <v>0.60000000000000009</v>
      </c>
      <c r="N473" s="56" t="str">
        <f t="shared" si="31"/>
        <v>OK</v>
      </c>
      <c r="O473" s="2"/>
      <c r="P473" s="27"/>
      <c r="Q473" s="2"/>
      <c r="R473" s="2"/>
    </row>
    <row r="474" spans="1:18" x14ac:dyDescent="0.35">
      <c r="A474" s="53">
        <v>25</v>
      </c>
      <c r="B474" s="53" t="s">
        <v>12</v>
      </c>
      <c r="C474" s="53" t="s">
        <v>32</v>
      </c>
      <c r="D474" s="53" t="s">
        <v>17</v>
      </c>
      <c r="E474" s="53" t="s">
        <v>28</v>
      </c>
      <c r="F474" s="54">
        <v>31208.49</v>
      </c>
      <c r="G474" s="53">
        <v>597515</v>
      </c>
      <c r="H474" s="53">
        <v>13780</v>
      </c>
      <c r="I474" s="53">
        <v>1377</v>
      </c>
      <c r="J474" s="54">
        <v>50245.668899999997</v>
      </c>
      <c r="K474" s="55">
        <f t="shared" si="28"/>
        <v>0.60999999999999976</v>
      </c>
      <c r="L474" s="56">
        <f t="shared" si="29"/>
        <v>0.60999999999999976</v>
      </c>
      <c r="M474" s="56" t="str">
        <f t="shared" si="30"/>
        <v/>
      </c>
      <c r="N474" s="56" t="str">
        <f t="shared" si="31"/>
        <v>OK</v>
      </c>
      <c r="O474" s="2"/>
      <c r="P474" s="27"/>
      <c r="Q474" s="2"/>
      <c r="R474" s="2"/>
    </row>
    <row r="475" spans="1:18" x14ac:dyDescent="0.35">
      <c r="A475" s="57">
        <v>176</v>
      </c>
      <c r="B475" s="57" t="s">
        <v>10</v>
      </c>
      <c r="C475" s="57" t="s">
        <v>31</v>
      </c>
      <c r="D475" s="57" t="s">
        <v>20</v>
      </c>
      <c r="E475" s="57" t="s">
        <v>28</v>
      </c>
      <c r="F475" s="58">
        <v>3442.26</v>
      </c>
      <c r="G475" s="57">
        <v>231883</v>
      </c>
      <c r="H475" s="57">
        <v>5313</v>
      </c>
      <c r="I475" s="57">
        <v>1087</v>
      </c>
      <c r="J475" s="58">
        <v>5542.0385999999999</v>
      </c>
      <c r="K475" s="55">
        <f t="shared" si="28"/>
        <v>0.60999999999999988</v>
      </c>
      <c r="L475" s="56" t="str">
        <f t="shared" si="29"/>
        <v/>
      </c>
      <c r="M475" s="56">
        <f t="shared" si="30"/>
        <v>0.60999999999999988</v>
      </c>
      <c r="N475" s="56" t="str">
        <f t="shared" si="31"/>
        <v>OK</v>
      </c>
      <c r="O475" s="2"/>
      <c r="P475" s="27"/>
      <c r="Q475" s="2"/>
      <c r="R475" s="2"/>
    </row>
    <row r="476" spans="1:18" x14ac:dyDescent="0.35">
      <c r="A476" s="53">
        <v>47</v>
      </c>
      <c r="B476" s="53" t="s">
        <v>13</v>
      </c>
      <c r="C476" s="53" t="s">
        <v>32</v>
      </c>
      <c r="D476" s="53" t="s">
        <v>19</v>
      </c>
      <c r="E476" s="53" t="s">
        <v>27</v>
      </c>
      <c r="F476" s="54">
        <v>11832.11</v>
      </c>
      <c r="G476" s="53">
        <v>400642</v>
      </c>
      <c r="H476" s="53">
        <v>16477</v>
      </c>
      <c r="I476" s="53">
        <v>1145</v>
      </c>
      <c r="J476" s="54">
        <v>19049.697100000001</v>
      </c>
      <c r="K476" s="55">
        <f t="shared" si="28"/>
        <v>0.61</v>
      </c>
      <c r="L476" s="56">
        <f t="shared" si="29"/>
        <v>0.61</v>
      </c>
      <c r="M476" s="56" t="str">
        <f t="shared" si="30"/>
        <v/>
      </c>
      <c r="N476" s="56" t="str">
        <f t="shared" si="31"/>
        <v>OK</v>
      </c>
      <c r="O476" s="2"/>
      <c r="P476" s="27"/>
      <c r="Q476" s="2"/>
      <c r="R476" s="2"/>
    </row>
    <row r="477" spans="1:18" x14ac:dyDescent="0.35">
      <c r="A477" s="53">
        <v>177</v>
      </c>
      <c r="B477" s="53" t="s">
        <v>9</v>
      </c>
      <c r="C477" s="53" t="s">
        <v>31</v>
      </c>
      <c r="D477" s="53" t="s">
        <v>18</v>
      </c>
      <c r="E477" s="53" t="s">
        <v>27</v>
      </c>
      <c r="F477" s="54">
        <v>45291.75</v>
      </c>
      <c r="G477" s="53">
        <v>221509</v>
      </c>
      <c r="H477" s="53">
        <v>4208</v>
      </c>
      <c r="I477" s="53">
        <v>1574</v>
      </c>
      <c r="J477" s="54">
        <v>72919.717499999999</v>
      </c>
      <c r="K477" s="55">
        <f t="shared" si="28"/>
        <v>0.61</v>
      </c>
      <c r="L477" s="56" t="str">
        <f t="shared" si="29"/>
        <v/>
      </c>
      <c r="M477" s="56">
        <f t="shared" si="30"/>
        <v>0.61</v>
      </c>
      <c r="N477" s="56" t="str">
        <f t="shared" si="31"/>
        <v>OK</v>
      </c>
      <c r="O477" s="2"/>
      <c r="P477" s="27"/>
      <c r="Q477" s="2"/>
      <c r="R477" s="2"/>
    </row>
    <row r="478" spans="1:18" x14ac:dyDescent="0.35">
      <c r="A478" s="53">
        <v>403</v>
      </c>
      <c r="B478" s="53" t="s">
        <v>9</v>
      </c>
      <c r="C478" s="53" t="s">
        <v>31</v>
      </c>
      <c r="D478" s="53" t="s">
        <v>18</v>
      </c>
      <c r="E478" s="53" t="s">
        <v>27</v>
      </c>
      <c r="F478" s="54">
        <v>49108.14</v>
      </c>
      <c r="G478" s="53">
        <v>618814</v>
      </c>
      <c r="H478" s="53">
        <v>6722</v>
      </c>
      <c r="I478" s="53">
        <v>1912</v>
      </c>
      <c r="J478" s="54">
        <v>79064.1054</v>
      </c>
      <c r="K478" s="55">
        <f t="shared" si="28"/>
        <v>0.61</v>
      </c>
      <c r="L478" s="56" t="str">
        <f t="shared" si="29"/>
        <v/>
      </c>
      <c r="M478" s="56">
        <f t="shared" si="30"/>
        <v>0.61</v>
      </c>
      <c r="N478" s="56" t="str">
        <f t="shared" si="31"/>
        <v>OK</v>
      </c>
      <c r="O478" s="2"/>
      <c r="P478" s="27"/>
      <c r="Q478" s="2"/>
      <c r="R478" s="2"/>
    </row>
    <row r="479" spans="1:18" x14ac:dyDescent="0.35">
      <c r="A479" s="57">
        <v>476</v>
      </c>
      <c r="B479" s="57" t="s">
        <v>13</v>
      </c>
      <c r="C479" s="57" t="s">
        <v>32</v>
      </c>
      <c r="D479" s="57" t="s">
        <v>22</v>
      </c>
      <c r="E479" s="57" t="s">
        <v>29</v>
      </c>
      <c r="F479" s="58">
        <v>24012.45</v>
      </c>
      <c r="G479" s="57">
        <v>498019</v>
      </c>
      <c r="H479" s="57">
        <v>15335</v>
      </c>
      <c r="I479" s="57">
        <v>1563</v>
      </c>
      <c r="J479" s="58">
        <v>38660.044500000004</v>
      </c>
      <c r="K479" s="55">
        <f t="shared" si="28"/>
        <v>0.6100000000000001</v>
      </c>
      <c r="L479" s="56">
        <f t="shared" si="29"/>
        <v>0.6100000000000001</v>
      </c>
      <c r="M479" s="56" t="str">
        <f t="shared" si="30"/>
        <v/>
      </c>
      <c r="N479" s="56" t="str">
        <f t="shared" si="31"/>
        <v>OK</v>
      </c>
      <c r="O479" s="2"/>
      <c r="P479" s="27"/>
      <c r="Q479" s="2"/>
      <c r="R479" s="2"/>
    </row>
    <row r="480" spans="1:18" x14ac:dyDescent="0.35">
      <c r="A480" s="53">
        <v>575</v>
      </c>
      <c r="B480" s="53" t="s">
        <v>8</v>
      </c>
      <c r="C480" s="53" t="s">
        <v>31</v>
      </c>
      <c r="D480" s="53" t="s">
        <v>17</v>
      </c>
      <c r="E480" s="53" t="s">
        <v>24</v>
      </c>
      <c r="F480" s="54">
        <v>44592.95</v>
      </c>
      <c r="G480" s="53">
        <v>629955</v>
      </c>
      <c r="H480" s="53">
        <v>9903</v>
      </c>
      <c r="I480" s="53">
        <v>1201</v>
      </c>
      <c r="J480" s="54">
        <v>71794.6495</v>
      </c>
      <c r="K480" s="55">
        <f t="shared" si="28"/>
        <v>0.6100000000000001</v>
      </c>
      <c r="L480" s="56" t="str">
        <f t="shared" si="29"/>
        <v/>
      </c>
      <c r="M480" s="56">
        <f t="shared" si="30"/>
        <v>0.6100000000000001</v>
      </c>
      <c r="N480" s="56" t="str">
        <f t="shared" si="31"/>
        <v>OK</v>
      </c>
      <c r="O480" s="2"/>
      <c r="P480" s="27"/>
      <c r="Q480" s="2"/>
      <c r="R480" s="2"/>
    </row>
    <row r="481" spans="1:18" x14ac:dyDescent="0.35">
      <c r="A481" s="57">
        <v>132</v>
      </c>
      <c r="B481" s="57" t="s">
        <v>15</v>
      </c>
      <c r="C481" s="57" t="s">
        <v>32</v>
      </c>
      <c r="D481" s="57" t="s">
        <v>20</v>
      </c>
      <c r="E481" s="57" t="s">
        <v>25</v>
      </c>
      <c r="F481" s="58">
        <v>37550.339999999997</v>
      </c>
      <c r="G481" s="57">
        <v>103330</v>
      </c>
      <c r="H481" s="57">
        <v>11926</v>
      </c>
      <c r="I481" s="57">
        <v>1357</v>
      </c>
      <c r="J481" s="58">
        <v>60456.047400000003</v>
      </c>
      <c r="K481" s="55">
        <f t="shared" si="28"/>
        <v>0.61000000000000021</v>
      </c>
      <c r="L481" s="56">
        <f t="shared" si="29"/>
        <v>0.61000000000000021</v>
      </c>
      <c r="M481" s="56" t="str">
        <f t="shared" si="30"/>
        <v/>
      </c>
      <c r="N481" s="56" t="str">
        <f t="shared" si="31"/>
        <v>OK</v>
      </c>
      <c r="O481" s="2"/>
      <c r="P481" s="27"/>
      <c r="Q481" s="2"/>
      <c r="R481" s="2"/>
    </row>
    <row r="482" spans="1:18" x14ac:dyDescent="0.35">
      <c r="A482" s="57">
        <v>282</v>
      </c>
      <c r="B482" s="57" t="s">
        <v>12</v>
      </c>
      <c r="C482" s="57" t="s">
        <v>32</v>
      </c>
      <c r="D482" s="57" t="s">
        <v>18</v>
      </c>
      <c r="E482" s="57" t="s">
        <v>29</v>
      </c>
      <c r="F482" s="58">
        <v>10584.85</v>
      </c>
      <c r="G482" s="57">
        <v>356184</v>
      </c>
      <c r="H482" s="57">
        <v>18637</v>
      </c>
      <c r="I482" s="57">
        <v>1236</v>
      </c>
      <c r="J482" s="58">
        <v>17147.456999999999</v>
      </c>
      <c r="K482" s="55">
        <f t="shared" si="28"/>
        <v>0.61999999999999977</v>
      </c>
      <c r="L482" s="56">
        <f t="shared" si="29"/>
        <v>0.61999999999999977</v>
      </c>
      <c r="M482" s="56" t="str">
        <f t="shared" si="30"/>
        <v/>
      </c>
      <c r="N482" s="56" t="str">
        <f t="shared" si="31"/>
        <v>OK</v>
      </c>
      <c r="O482" s="2"/>
      <c r="P482" s="27"/>
      <c r="Q482" s="2"/>
      <c r="R482" s="2"/>
    </row>
    <row r="483" spans="1:18" x14ac:dyDescent="0.35">
      <c r="A483" s="57">
        <v>356</v>
      </c>
      <c r="B483" s="57" t="s">
        <v>8</v>
      </c>
      <c r="C483" s="57" t="s">
        <v>31</v>
      </c>
      <c r="D483" s="57" t="s">
        <v>17</v>
      </c>
      <c r="E483" s="57" t="s">
        <v>27</v>
      </c>
      <c r="F483" s="58">
        <v>13444.77</v>
      </c>
      <c r="G483" s="57">
        <v>420482</v>
      </c>
      <c r="H483" s="57">
        <v>19031</v>
      </c>
      <c r="I483" s="57">
        <v>900</v>
      </c>
      <c r="J483" s="58">
        <v>21780.527399999999</v>
      </c>
      <c r="K483" s="55">
        <f t="shared" si="28"/>
        <v>0.61999999999999988</v>
      </c>
      <c r="L483" s="56" t="str">
        <f t="shared" si="29"/>
        <v/>
      </c>
      <c r="M483" s="56">
        <f t="shared" si="30"/>
        <v>0.61999999999999988</v>
      </c>
      <c r="N483" s="56" t="str">
        <f t="shared" si="31"/>
        <v>OK</v>
      </c>
      <c r="O483" s="2"/>
      <c r="P483" s="27"/>
      <c r="Q483" s="2"/>
      <c r="R483" s="2"/>
    </row>
    <row r="484" spans="1:18" x14ac:dyDescent="0.35">
      <c r="A484" s="57">
        <v>136</v>
      </c>
      <c r="B484" s="57" t="s">
        <v>15</v>
      </c>
      <c r="C484" s="57" t="s">
        <v>32</v>
      </c>
      <c r="D484" s="57" t="s">
        <v>21</v>
      </c>
      <c r="E484" s="57" t="s">
        <v>29</v>
      </c>
      <c r="F484" s="58">
        <v>26494.53</v>
      </c>
      <c r="G484" s="57">
        <v>201387</v>
      </c>
      <c r="H484" s="57">
        <v>2317</v>
      </c>
      <c r="I484" s="57">
        <v>1903</v>
      </c>
      <c r="J484" s="58">
        <v>42921.138599999998</v>
      </c>
      <c r="K484" s="55">
        <f t="shared" si="28"/>
        <v>0.62</v>
      </c>
      <c r="L484" s="56">
        <f t="shared" si="29"/>
        <v>0.62</v>
      </c>
      <c r="M484" s="56" t="str">
        <f t="shared" si="30"/>
        <v/>
      </c>
      <c r="N484" s="56" t="str">
        <f t="shared" si="31"/>
        <v>OK</v>
      </c>
      <c r="O484" s="2"/>
      <c r="P484" s="27"/>
      <c r="Q484" s="2"/>
      <c r="R484" s="2"/>
    </row>
    <row r="485" spans="1:18" x14ac:dyDescent="0.35">
      <c r="A485" s="53">
        <v>287</v>
      </c>
      <c r="B485" s="53" t="s">
        <v>11</v>
      </c>
      <c r="C485" s="53" t="s">
        <v>32</v>
      </c>
      <c r="D485" s="53" t="s">
        <v>17</v>
      </c>
      <c r="E485" s="53" t="s">
        <v>26</v>
      </c>
      <c r="F485" s="54">
        <v>14545.64</v>
      </c>
      <c r="G485" s="53">
        <v>52291</v>
      </c>
      <c r="H485" s="53">
        <v>3203</v>
      </c>
      <c r="I485" s="53">
        <v>1837</v>
      </c>
      <c r="J485" s="54">
        <v>23563.936799999999</v>
      </c>
      <c r="K485" s="55">
        <f t="shared" si="28"/>
        <v>0.62</v>
      </c>
      <c r="L485" s="56">
        <f t="shared" si="29"/>
        <v>0.62</v>
      </c>
      <c r="M485" s="56" t="str">
        <f t="shared" si="30"/>
        <v/>
      </c>
      <c r="N485" s="56" t="str">
        <f t="shared" si="31"/>
        <v>OK</v>
      </c>
      <c r="O485" s="2"/>
      <c r="P485" s="27"/>
      <c r="Q485" s="2"/>
      <c r="R485" s="2"/>
    </row>
    <row r="486" spans="1:18" x14ac:dyDescent="0.35">
      <c r="A486" s="57">
        <v>770</v>
      </c>
      <c r="B486" s="57" t="s">
        <v>11</v>
      </c>
      <c r="C486" s="57" t="s">
        <v>32</v>
      </c>
      <c r="D486" s="57" t="s">
        <v>21</v>
      </c>
      <c r="E486" s="57" t="s">
        <v>24</v>
      </c>
      <c r="F486" s="58">
        <v>38220.959999999999</v>
      </c>
      <c r="G486" s="57">
        <v>679277</v>
      </c>
      <c r="H486" s="57">
        <v>1981</v>
      </c>
      <c r="I486" s="57">
        <v>534</v>
      </c>
      <c r="J486" s="58">
        <v>61917.955199999997</v>
      </c>
      <c r="K486" s="55">
        <f t="shared" si="28"/>
        <v>0.62</v>
      </c>
      <c r="L486" s="56">
        <f t="shared" si="29"/>
        <v>0.62</v>
      </c>
      <c r="M486" s="56" t="str">
        <f t="shared" si="30"/>
        <v/>
      </c>
      <c r="N486" s="56" t="str">
        <f t="shared" si="31"/>
        <v>OK</v>
      </c>
      <c r="O486" s="2"/>
      <c r="P486" s="27"/>
      <c r="Q486" s="2"/>
      <c r="R486" s="2"/>
    </row>
    <row r="487" spans="1:18" x14ac:dyDescent="0.35">
      <c r="A487" s="57">
        <v>254</v>
      </c>
      <c r="B487" s="57" t="s">
        <v>15</v>
      </c>
      <c r="C487" s="57" t="s">
        <v>32</v>
      </c>
      <c r="D487" s="57" t="s">
        <v>22</v>
      </c>
      <c r="E487" s="57" t="s">
        <v>27</v>
      </c>
      <c r="F487" s="58">
        <v>48925.03</v>
      </c>
      <c r="G487" s="57">
        <v>794192</v>
      </c>
      <c r="H487" s="57">
        <v>12398</v>
      </c>
      <c r="I487" s="57">
        <v>1844</v>
      </c>
      <c r="J487" s="58">
        <v>79747.798899999994</v>
      </c>
      <c r="K487" s="55">
        <f t="shared" si="28"/>
        <v>0.62999999999999989</v>
      </c>
      <c r="L487" s="56">
        <f t="shared" si="29"/>
        <v>0.62999999999999989</v>
      </c>
      <c r="M487" s="56" t="str">
        <f t="shared" si="30"/>
        <v/>
      </c>
      <c r="N487" s="56" t="str">
        <f t="shared" si="31"/>
        <v>OK</v>
      </c>
      <c r="O487" s="2"/>
      <c r="P487" s="27"/>
      <c r="Q487" s="2"/>
      <c r="R487" s="2"/>
    </row>
    <row r="488" spans="1:18" x14ac:dyDescent="0.35">
      <c r="A488" s="53">
        <v>539</v>
      </c>
      <c r="B488" s="53" t="s">
        <v>15</v>
      </c>
      <c r="C488" s="53" t="s">
        <v>32</v>
      </c>
      <c r="D488" s="53" t="s">
        <v>21</v>
      </c>
      <c r="E488" s="53" t="s">
        <v>27</v>
      </c>
      <c r="F488" s="54">
        <v>30335.93</v>
      </c>
      <c r="G488" s="53">
        <v>870335</v>
      </c>
      <c r="H488" s="53">
        <v>9978</v>
      </c>
      <c r="I488" s="53">
        <v>1047</v>
      </c>
      <c r="J488" s="54">
        <v>49447.565900000001</v>
      </c>
      <c r="K488" s="55">
        <f t="shared" si="28"/>
        <v>0.63</v>
      </c>
      <c r="L488" s="56">
        <f t="shared" si="29"/>
        <v>0.63</v>
      </c>
      <c r="M488" s="56" t="str">
        <f t="shared" si="30"/>
        <v/>
      </c>
      <c r="N488" s="56" t="str">
        <f t="shared" si="31"/>
        <v>OK</v>
      </c>
      <c r="O488" s="2"/>
      <c r="P488" s="27"/>
      <c r="Q488" s="2"/>
      <c r="R488" s="2"/>
    </row>
    <row r="489" spans="1:18" x14ac:dyDescent="0.35">
      <c r="A489" s="53">
        <v>861</v>
      </c>
      <c r="B489" s="53" t="s">
        <v>12</v>
      </c>
      <c r="C489" s="53" t="s">
        <v>32</v>
      </c>
      <c r="D489" s="53" t="s">
        <v>17</v>
      </c>
      <c r="E489" s="53" t="s">
        <v>29</v>
      </c>
      <c r="F489" s="54">
        <v>3557.73</v>
      </c>
      <c r="G489" s="53">
        <v>433291</v>
      </c>
      <c r="H489" s="53">
        <v>18391</v>
      </c>
      <c r="I489" s="53">
        <v>960</v>
      </c>
      <c r="J489" s="54">
        <v>5799.0999000000002</v>
      </c>
      <c r="K489" s="55">
        <f t="shared" si="28"/>
        <v>0.63</v>
      </c>
      <c r="L489" s="56">
        <f t="shared" si="29"/>
        <v>0.63</v>
      </c>
      <c r="M489" s="56" t="str">
        <f t="shared" si="30"/>
        <v/>
      </c>
      <c r="N489" s="56" t="str">
        <f t="shared" si="31"/>
        <v>OK</v>
      </c>
      <c r="O489" s="2"/>
      <c r="P489" s="27"/>
      <c r="Q489" s="2"/>
      <c r="R489" s="2"/>
    </row>
    <row r="490" spans="1:18" x14ac:dyDescent="0.35">
      <c r="A490" s="57">
        <v>368</v>
      </c>
      <c r="B490" s="57" t="s">
        <v>14</v>
      </c>
      <c r="C490" s="57" t="s">
        <v>32</v>
      </c>
      <c r="D490" s="57" t="s">
        <v>18</v>
      </c>
      <c r="E490" s="57" t="s">
        <v>27</v>
      </c>
      <c r="F490" s="58">
        <v>17678.62</v>
      </c>
      <c r="G490" s="57">
        <v>283586</v>
      </c>
      <c r="H490" s="57">
        <v>6229</v>
      </c>
      <c r="I490" s="57">
        <v>1058</v>
      </c>
      <c r="J490" s="58">
        <v>28816.150600000001</v>
      </c>
      <c r="K490" s="55">
        <f t="shared" si="28"/>
        <v>0.63000000000000012</v>
      </c>
      <c r="L490" s="56">
        <f t="shared" si="29"/>
        <v>0.63000000000000012</v>
      </c>
      <c r="M490" s="56" t="str">
        <f t="shared" si="30"/>
        <v/>
      </c>
      <c r="N490" s="56" t="str">
        <f t="shared" si="31"/>
        <v>OK</v>
      </c>
      <c r="O490" s="2"/>
      <c r="P490" s="27"/>
      <c r="Q490" s="2"/>
      <c r="R490" s="2"/>
    </row>
    <row r="491" spans="1:18" x14ac:dyDescent="0.35">
      <c r="A491" s="57">
        <v>510</v>
      </c>
      <c r="B491" s="57" t="s">
        <v>14</v>
      </c>
      <c r="C491" s="57" t="s">
        <v>32</v>
      </c>
      <c r="D491" s="57" t="s">
        <v>22</v>
      </c>
      <c r="E491" s="57" t="s">
        <v>28</v>
      </c>
      <c r="F491" s="58">
        <v>44230.67</v>
      </c>
      <c r="G491" s="57">
        <v>899493</v>
      </c>
      <c r="H491" s="57">
        <v>6611</v>
      </c>
      <c r="I491" s="57">
        <v>615</v>
      </c>
      <c r="J491" s="58">
        <v>72095.992100000003</v>
      </c>
      <c r="K491" s="55">
        <f t="shared" si="28"/>
        <v>0.63000000000000012</v>
      </c>
      <c r="L491" s="56">
        <f t="shared" si="29"/>
        <v>0.63000000000000012</v>
      </c>
      <c r="M491" s="56" t="str">
        <f t="shared" si="30"/>
        <v/>
      </c>
      <c r="N491" s="56" t="str">
        <f t="shared" si="31"/>
        <v>OK</v>
      </c>
      <c r="O491" s="2"/>
      <c r="P491" s="27"/>
      <c r="Q491" s="2"/>
      <c r="R491" s="2"/>
    </row>
    <row r="492" spans="1:18" x14ac:dyDescent="0.35">
      <c r="A492" s="53">
        <v>635</v>
      </c>
      <c r="B492" s="53" t="s">
        <v>14</v>
      </c>
      <c r="C492" s="53" t="s">
        <v>32</v>
      </c>
      <c r="D492" s="53" t="s">
        <v>22</v>
      </c>
      <c r="E492" s="53" t="s">
        <v>24</v>
      </c>
      <c r="F492" s="54">
        <v>18453.099999999999</v>
      </c>
      <c r="G492" s="53">
        <v>95178</v>
      </c>
      <c r="H492" s="53">
        <v>18379</v>
      </c>
      <c r="I492" s="53">
        <v>356</v>
      </c>
      <c r="J492" s="54">
        <v>30078.553</v>
      </c>
      <c r="K492" s="55">
        <f t="shared" si="28"/>
        <v>0.63000000000000012</v>
      </c>
      <c r="L492" s="56">
        <f t="shared" si="29"/>
        <v>0.63000000000000012</v>
      </c>
      <c r="M492" s="56" t="str">
        <f t="shared" si="30"/>
        <v/>
      </c>
      <c r="N492" s="56" t="str">
        <f t="shared" si="31"/>
        <v>OK</v>
      </c>
      <c r="O492" s="2"/>
      <c r="P492" s="27"/>
      <c r="Q492" s="2"/>
      <c r="R492" s="2"/>
    </row>
    <row r="493" spans="1:18" x14ac:dyDescent="0.35">
      <c r="A493" s="57">
        <v>758</v>
      </c>
      <c r="B493" s="57" t="s">
        <v>9</v>
      </c>
      <c r="C493" s="57" t="s">
        <v>31</v>
      </c>
      <c r="D493" s="57" t="s">
        <v>17</v>
      </c>
      <c r="E493" s="57" t="s">
        <v>29</v>
      </c>
      <c r="F493" s="58">
        <v>20664</v>
      </c>
      <c r="G493" s="57">
        <v>465150</v>
      </c>
      <c r="H493" s="57">
        <v>7481</v>
      </c>
      <c r="I493" s="57">
        <v>1644</v>
      </c>
      <c r="J493" s="58">
        <v>33888.959999999999</v>
      </c>
      <c r="K493" s="55">
        <f t="shared" si="28"/>
        <v>0.6399999999999999</v>
      </c>
      <c r="L493" s="56" t="str">
        <f t="shared" si="29"/>
        <v/>
      </c>
      <c r="M493" s="56">
        <f t="shared" si="30"/>
        <v>0.6399999999999999</v>
      </c>
      <c r="N493" s="56" t="str">
        <f t="shared" si="31"/>
        <v>OK</v>
      </c>
      <c r="O493" s="2"/>
      <c r="P493" s="27"/>
      <c r="Q493" s="2"/>
      <c r="R493" s="2"/>
    </row>
    <row r="494" spans="1:18" x14ac:dyDescent="0.35">
      <c r="A494" s="57">
        <v>934</v>
      </c>
      <c r="B494" s="57" t="s">
        <v>11</v>
      </c>
      <c r="C494" s="57" t="s">
        <v>32</v>
      </c>
      <c r="D494" s="57" t="s">
        <v>18</v>
      </c>
      <c r="E494" s="57" t="s">
        <v>26</v>
      </c>
      <c r="F494" s="58">
        <v>44907.68</v>
      </c>
      <c r="G494" s="57">
        <v>556298</v>
      </c>
      <c r="H494" s="57">
        <v>13310</v>
      </c>
      <c r="I494" s="57">
        <v>1092</v>
      </c>
      <c r="J494" s="58">
        <v>73648.595199999996</v>
      </c>
      <c r="K494" s="55">
        <f t="shared" si="28"/>
        <v>0.6399999999999999</v>
      </c>
      <c r="L494" s="56">
        <f t="shared" si="29"/>
        <v>0.6399999999999999</v>
      </c>
      <c r="M494" s="56" t="str">
        <f t="shared" si="30"/>
        <v/>
      </c>
      <c r="N494" s="56" t="str">
        <f t="shared" si="31"/>
        <v>OK</v>
      </c>
      <c r="O494" s="2"/>
      <c r="P494" s="27"/>
      <c r="Q494" s="2"/>
      <c r="R494" s="2"/>
    </row>
    <row r="495" spans="1:18" x14ac:dyDescent="0.35">
      <c r="A495" s="57">
        <v>756</v>
      </c>
      <c r="B495" s="57" t="s">
        <v>10</v>
      </c>
      <c r="C495" s="57" t="s">
        <v>31</v>
      </c>
      <c r="D495" s="57" t="s">
        <v>19</v>
      </c>
      <c r="E495" s="57" t="s">
        <v>24</v>
      </c>
      <c r="F495" s="58">
        <v>11344.51</v>
      </c>
      <c r="G495" s="57">
        <v>447805</v>
      </c>
      <c r="H495" s="57">
        <v>18104</v>
      </c>
      <c r="I495" s="57">
        <v>281</v>
      </c>
      <c r="J495" s="58">
        <v>18604.9964</v>
      </c>
      <c r="K495" s="55">
        <f t="shared" si="28"/>
        <v>0.64</v>
      </c>
      <c r="L495" s="56" t="str">
        <f t="shared" si="29"/>
        <v/>
      </c>
      <c r="M495" s="56">
        <f t="shared" si="30"/>
        <v>0.64</v>
      </c>
      <c r="N495" s="56" t="str">
        <f t="shared" si="31"/>
        <v>OK</v>
      </c>
      <c r="O495" s="2"/>
      <c r="P495" s="27"/>
      <c r="Q495" s="2"/>
      <c r="R495" s="2"/>
    </row>
    <row r="496" spans="1:18" x14ac:dyDescent="0.35">
      <c r="A496" s="57">
        <v>312</v>
      </c>
      <c r="B496" s="57" t="s">
        <v>8</v>
      </c>
      <c r="C496" s="57" t="s">
        <v>31</v>
      </c>
      <c r="D496" s="57" t="s">
        <v>22</v>
      </c>
      <c r="E496" s="57" t="s">
        <v>26</v>
      </c>
      <c r="F496" s="58">
        <v>16663.669999999998</v>
      </c>
      <c r="G496" s="57">
        <v>505010</v>
      </c>
      <c r="H496" s="57">
        <v>5174</v>
      </c>
      <c r="I496" s="57">
        <v>1390</v>
      </c>
      <c r="J496" s="58">
        <v>27328.418799999999</v>
      </c>
      <c r="K496" s="55">
        <f t="shared" si="28"/>
        <v>0.64000000000000012</v>
      </c>
      <c r="L496" s="56" t="str">
        <f t="shared" si="29"/>
        <v/>
      </c>
      <c r="M496" s="56">
        <f t="shared" si="30"/>
        <v>0.64000000000000012</v>
      </c>
      <c r="N496" s="56" t="str">
        <f t="shared" si="31"/>
        <v>OK</v>
      </c>
      <c r="O496" s="2"/>
      <c r="P496" s="27"/>
      <c r="Q496" s="2"/>
      <c r="R496" s="2"/>
    </row>
    <row r="497" spans="1:18" x14ac:dyDescent="0.35">
      <c r="A497" s="57">
        <v>140</v>
      </c>
      <c r="B497" s="57" t="s">
        <v>11</v>
      </c>
      <c r="C497" s="57" t="s">
        <v>32</v>
      </c>
      <c r="D497" s="57" t="s">
        <v>21</v>
      </c>
      <c r="E497" s="57" t="s">
        <v>24</v>
      </c>
      <c r="F497" s="58">
        <v>12557.02</v>
      </c>
      <c r="G497" s="57">
        <v>696915</v>
      </c>
      <c r="H497" s="57">
        <v>19710</v>
      </c>
      <c r="I497" s="57">
        <v>1596</v>
      </c>
      <c r="J497" s="58">
        <v>20719.082999999999</v>
      </c>
      <c r="K497" s="55">
        <f t="shared" si="28"/>
        <v>0.6499999999999998</v>
      </c>
      <c r="L497" s="56">
        <f t="shared" si="29"/>
        <v>0.6499999999999998</v>
      </c>
      <c r="M497" s="56" t="str">
        <f t="shared" si="30"/>
        <v/>
      </c>
      <c r="N497" s="56" t="str">
        <f t="shared" si="31"/>
        <v>OK</v>
      </c>
      <c r="O497" s="2"/>
      <c r="P497" s="27"/>
      <c r="Q497" s="2"/>
      <c r="R497" s="2"/>
    </row>
    <row r="498" spans="1:18" x14ac:dyDescent="0.35">
      <c r="A498" s="57">
        <v>250</v>
      </c>
      <c r="B498" s="57" t="s">
        <v>9</v>
      </c>
      <c r="C498" s="57" t="s">
        <v>31</v>
      </c>
      <c r="D498" s="57" t="s">
        <v>17</v>
      </c>
      <c r="E498" s="57" t="s">
        <v>28</v>
      </c>
      <c r="F498" s="58">
        <v>15238.79</v>
      </c>
      <c r="G498" s="57">
        <v>938660</v>
      </c>
      <c r="H498" s="57">
        <v>15835</v>
      </c>
      <c r="I498" s="57">
        <v>301</v>
      </c>
      <c r="J498" s="58">
        <v>25144.003499999999</v>
      </c>
      <c r="K498" s="55">
        <f t="shared" si="28"/>
        <v>0.6499999999999998</v>
      </c>
      <c r="L498" s="56" t="str">
        <f t="shared" si="29"/>
        <v/>
      </c>
      <c r="M498" s="56">
        <f t="shared" si="30"/>
        <v>0.6499999999999998</v>
      </c>
      <c r="N498" s="56" t="str">
        <f t="shared" si="31"/>
        <v>OK</v>
      </c>
      <c r="O498" s="2"/>
      <c r="P498" s="27"/>
      <c r="Q498" s="2"/>
      <c r="R498" s="2"/>
    </row>
    <row r="499" spans="1:18" x14ac:dyDescent="0.35">
      <c r="A499" s="53">
        <v>853</v>
      </c>
      <c r="B499" s="53" t="s">
        <v>15</v>
      </c>
      <c r="C499" s="53" t="s">
        <v>32</v>
      </c>
      <c r="D499" s="53" t="s">
        <v>22</v>
      </c>
      <c r="E499" s="53" t="s">
        <v>27</v>
      </c>
      <c r="F499" s="54">
        <v>40015.79</v>
      </c>
      <c r="G499" s="53">
        <v>585228</v>
      </c>
      <c r="H499" s="53">
        <v>8781</v>
      </c>
      <c r="I499" s="53">
        <v>153</v>
      </c>
      <c r="J499" s="54">
        <v>66026.053499999995</v>
      </c>
      <c r="K499" s="55">
        <f t="shared" si="28"/>
        <v>0.6499999999999998</v>
      </c>
      <c r="L499" s="56">
        <f t="shared" si="29"/>
        <v>0.6499999999999998</v>
      </c>
      <c r="M499" s="56" t="str">
        <f t="shared" si="30"/>
        <v/>
      </c>
      <c r="N499" s="56" t="str">
        <f t="shared" si="31"/>
        <v>OK</v>
      </c>
      <c r="O499" s="2"/>
      <c r="P499" s="27"/>
      <c r="Q499" s="2"/>
      <c r="R499" s="2"/>
    </row>
    <row r="500" spans="1:18" x14ac:dyDescent="0.35">
      <c r="A500" s="53">
        <v>845</v>
      </c>
      <c r="B500" s="53" t="s">
        <v>15</v>
      </c>
      <c r="C500" s="53" t="s">
        <v>32</v>
      </c>
      <c r="D500" s="53" t="s">
        <v>17</v>
      </c>
      <c r="E500" s="53" t="s">
        <v>29</v>
      </c>
      <c r="F500" s="54">
        <v>10115.129999999999</v>
      </c>
      <c r="G500" s="53">
        <v>363076</v>
      </c>
      <c r="H500" s="53">
        <v>377</v>
      </c>
      <c r="I500" s="53">
        <v>988</v>
      </c>
      <c r="J500" s="54">
        <v>16689.964499999998</v>
      </c>
      <c r="K500" s="55">
        <f t="shared" si="28"/>
        <v>0.64999999999999991</v>
      </c>
      <c r="L500" s="56">
        <f t="shared" si="29"/>
        <v>0.64999999999999991</v>
      </c>
      <c r="M500" s="56" t="str">
        <f t="shared" si="30"/>
        <v/>
      </c>
      <c r="N500" s="56" t="str">
        <f t="shared" si="31"/>
        <v>ERROR: Conversions &gt; Clicks</v>
      </c>
      <c r="O500" s="2"/>
      <c r="P500" s="27"/>
      <c r="Q500" s="2"/>
      <c r="R500" s="2"/>
    </row>
    <row r="501" spans="1:18" x14ac:dyDescent="0.35">
      <c r="A501" s="53">
        <v>319</v>
      </c>
      <c r="B501" s="53" t="s">
        <v>8</v>
      </c>
      <c r="C501" s="53" t="s">
        <v>31</v>
      </c>
      <c r="D501" s="53" t="s">
        <v>17</v>
      </c>
      <c r="E501" s="53" t="s">
        <v>24</v>
      </c>
      <c r="F501" s="54">
        <v>49009.34</v>
      </c>
      <c r="G501" s="53">
        <v>702924</v>
      </c>
      <c r="H501" s="53">
        <v>13483</v>
      </c>
      <c r="I501" s="53">
        <v>1663</v>
      </c>
      <c r="J501" s="54">
        <v>80865.410999999993</v>
      </c>
      <c r="K501" s="55">
        <f t="shared" si="28"/>
        <v>0.65</v>
      </c>
      <c r="L501" s="56" t="str">
        <f t="shared" si="29"/>
        <v/>
      </c>
      <c r="M501" s="56">
        <f t="shared" si="30"/>
        <v>0.65</v>
      </c>
      <c r="N501" s="56" t="str">
        <f t="shared" si="31"/>
        <v>OK</v>
      </c>
      <c r="O501" s="2"/>
      <c r="P501" s="27"/>
      <c r="Q501" s="2"/>
      <c r="R501" s="2"/>
    </row>
    <row r="502" spans="1:18" x14ac:dyDescent="0.35">
      <c r="A502" s="53">
        <v>937</v>
      </c>
      <c r="B502" s="53" t="s">
        <v>10</v>
      </c>
      <c r="C502" s="53" t="s">
        <v>31</v>
      </c>
      <c r="D502" s="53" t="s">
        <v>22</v>
      </c>
      <c r="E502" s="53" t="s">
        <v>27</v>
      </c>
      <c r="F502" s="54">
        <v>14535.63</v>
      </c>
      <c r="G502" s="53">
        <v>668250</v>
      </c>
      <c r="H502" s="53">
        <v>15653</v>
      </c>
      <c r="I502" s="53">
        <v>1654</v>
      </c>
      <c r="J502" s="54">
        <v>23983.789499999999</v>
      </c>
      <c r="K502" s="55">
        <f t="shared" si="28"/>
        <v>0.65</v>
      </c>
      <c r="L502" s="56" t="str">
        <f t="shared" si="29"/>
        <v/>
      </c>
      <c r="M502" s="56">
        <f t="shared" si="30"/>
        <v>0.65</v>
      </c>
      <c r="N502" s="56" t="str">
        <f t="shared" si="31"/>
        <v>OK</v>
      </c>
      <c r="O502" s="2"/>
      <c r="P502" s="27"/>
      <c r="Q502" s="2"/>
      <c r="R502" s="2"/>
    </row>
    <row r="503" spans="1:18" x14ac:dyDescent="0.35">
      <c r="A503" s="53">
        <v>245</v>
      </c>
      <c r="B503" s="53" t="s">
        <v>8</v>
      </c>
      <c r="C503" s="53" t="s">
        <v>31</v>
      </c>
      <c r="D503" s="53" t="s">
        <v>20</v>
      </c>
      <c r="E503" s="53" t="s">
        <v>24</v>
      </c>
      <c r="F503" s="54">
        <v>11588.43</v>
      </c>
      <c r="G503" s="53">
        <v>602656</v>
      </c>
      <c r="H503" s="53">
        <v>6179</v>
      </c>
      <c r="I503" s="53">
        <v>198</v>
      </c>
      <c r="J503" s="54">
        <v>19120.909500000002</v>
      </c>
      <c r="K503" s="55">
        <f t="shared" si="28"/>
        <v>0.65000000000000013</v>
      </c>
      <c r="L503" s="56" t="str">
        <f t="shared" si="29"/>
        <v/>
      </c>
      <c r="M503" s="56">
        <f t="shared" si="30"/>
        <v>0.65000000000000013</v>
      </c>
      <c r="N503" s="56" t="str">
        <f t="shared" si="31"/>
        <v>OK</v>
      </c>
      <c r="O503" s="2"/>
      <c r="P503" s="27"/>
      <c r="Q503" s="2"/>
      <c r="R503" s="2"/>
    </row>
    <row r="504" spans="1:18" x14ac:dyDescent="0.35">
      <c r="A504" s="53">
        <v>591</v>
      </c>
      <c r="B504" s="53" t="s">
        <v>11</v>
      </c>
      <c r="C504" s="53" t="s">
        <v>32</v>
      </c>
      <c r="D504" s="53" t="s">
        <v>22</v>
      </c>
      <c r="E504" s="53" t="s">
        <v>26</v>
      </c>
      <c r="F504" s="54">
        <v>19907.849999999999</v>
      </c>
      <c r="G504" s="53">
        <v>191561</v>
      </c>
      <c r="H504" s="53">
        <v>4724</v>
      </c>
      <c r="I504" s="53">
        <v>245</v>
      </c>
      <c r="J504" s="54">
        <v>32847.952499999999</v>
      </c>
      <c r="K504" s="55">
        <f t="shared" si="28"/>
        <v>0.65000000000000013</v>
      </c>
      <c r="L504" s="56">
        <f t="shared" si="29"/>
        <v>0.65000000000000013</v>
      </c>
      <c r="M504" s="56" t="str">
        <f t="shared" si="30"/>
        <v/>
      </c>
      <c r="N504" s="56" t="str">
        <f t="shared" si="31"/>
        <v>OK</v>
      </c>
      <c r="O504" s="2"/>
      <c r="P504" s="27"/>
      <c r="Q504" s="2"/>
      <c r="R504" s="2"/>
    </row>
    <row r="505" spans="1:18" x14ac:dyDescent="0.35">
      <c r="A505" s="57">
        <v>994</v>
      </c>
      <c r="B505" s="57" t="s">
        <v>12</v>
      </c>
      <c r="C505" s="57" t="s">
        <v>32</v>
      </c>
      <c r="D505" s="57" t="s">
        <v>18</v>
      </c>
      <c r="E505" s="57" t="s">
        <v>26</v>
      </c>
      <c r="F505" s="58">
        <v>20365.09</v>
      </c>
      <c r="G505" s="57">
        <v>207097</v>
      </c>
      <c r="H505" s="57">
        <v>5329</v>
      </c>
      <c r="I505" s="57">
        <v>672</v>
      </c>
      <c r="J505" s="58">
        <v>33602.398500000003</v>
      </c>
      <c r="K505" s="55">
        <f t="shared" si="28"/>
        <v>0.65000000000000013</v>
      </c>
      <c r="L505" s="56">
        <f t="shared" si="29"/>
        <v>0.65000000000000013</v>
      </c>
      <c r="M505" s="56" t="str">
        <f t="shared" si="30"/>
        <v/>
      </c>
      <c r="N505" s="56" t="str">
        <f t="shared" si="31"/>
        <v>OK</v>
      </c>
      <c r="O505" s="2"/>
      <c r="P505" s="27"/>
      <c r="Q505" s="2"/>
      <c r="R505" s="2"/>
    </row>
    <row r="506" spans="1:18" x14ac:dyDescent="0.35">
      <c r="A506" s="53">
        <v>563</v>
      </c>
      <c r="B506" s="53" t="s">
        <v>8</v>
      </c>
      <c r="C506" s="53" t="s">
        <v>31</v>
      </c>
      <c r="D506" s="53" t="s">
        <v>18</v>
      </c>
      <c r="E506" s="53" t="s">
        <v>26</v>
      </c>
      <c r="F506" s="54">
        <v>42740.22</v>
      </c>
      <c r="G506" s="53">
        <v>101176</v>
      </c>
      <c r="H506" s="53">
        <v>1725</v>
      </c>
      <c r="I506" s="53">
        <v>1573</v>
      </c>
      <c r="J506" s="54">
        <v>70948.765199999994</v>
      </c>
      <c r="K506" s="55">
        <f t="shared" si="28"/>
        <v>0.65999999999999981</v>
      </c>
      <c r="L506" s="56" t="str">
        <f t="shared" si="29"/>
        <v/>
      </c>
      <c r="M506" s="56">
        <f t="shared" si="30"/>
        <v>0.65999999999999981</v>
      </c>
      <c r="N506" s="56" t="str">
        <f t="shared" si="31"/>
        <v>OK</v>
      </c>
      <c r="O506" s="2"/>
      <c r="P506" s="27"/>
      <c r="Q506" s="2"/>
      <c r="R506" s="2"/>
    </row>
    <row r="507" spans="1:18" x14ac:dyDescent="0.35">
      <c r="A507" s="57">
        <v>172</v>
      </c>
      <c r="B507" s="57" t="s">
        <v>15</v>
      </c>
      <c r="C507" s="57" t="s">
        <v>32</v>
      </c>
      <c r="D507" s="57" t="s">
        <v>20</v>
      </c>
      <c r="E507" s="57" t="s">
        <v>28</v>
      </c>
      <c r="F507" s="58">
        <v>22323.84</v>
      </c>
      <c r="G507" s="57">
        <v>178616</v>
      </c>
      <c r="H507" s="57">
        <v>14601</v>
      </c>
      <c r="I507" s="57">
        <v>376</v>
      </c>
      <c r="J507" s="58">
        <v>37057.574399999998</v>
      </c>
      <c r="K507" s="55">
        <f t="shared" si="28"/>
        <v>0.65999999999999992</v>
      </c>
      <c r="L507" s="56">
        <f t="shared" si="29"/>
        <v>0.65999999999999992</v>
      </c>
      <c r="M507" s="56" t="str">
        <f t="shared" si="30"/>
        <v/>
      </c>
      <c r="N507" s="56" t="str">
        <f t="shared" si="31"/>
        <v>OK</v>
      </c>
      <c r="O507" s="2"/>
      <c r="P507" s="27"/>
      <c r="Q507" s="2"/>
      <c r="R507" s="2"/>
    </row>
    <row r="508" spans="1:18" x14ac:dyDescent="0.35">
      <c r="A508" s="57">
        <v>880</v>
      </c>
      <c r="B508" s="57" t="s">
        <v>15</v>
      </c>
      <c r="C508" s="57" t="s">
        <v>32</v>
      </c>
      <c r="D508" s="57" t="s">
        <v>17</v>
      </c>
      <c r="E508" s="57" t="s">
        <v>29</v>
      </c>
      <c r="F508" s="58">
        <v>17181.900000000001</v>
      </c>
      <c r="G508" s="57">
        <v>535005</v>
      </c>
      <c r="H508" s="57">
        <v>17855</v>
      </c>
      <c r="I508" s="57">
        <v>1765</v>
      </c>
      <c r="J508" s="58">
        <v>28521.954000000002</v>
      </c>
      <c r="K508" s="55">
        <f t="shared" si="28"/>
        <v>0.65999999999999992</v>
      </c>
      <c r="L508" s="56">
        <f t="shared" si="29"/>
        <v>0.65999999999999992</v>
      </c>
      <c r="M508" s="56" t="str">
        <f t="shared" si="30"/>
        <v/>
      </c>
      <c r="N508" s="56" t="str">
        <f t="shared" si="31"/>
        <v>OK</v>
      </c>
      <c r="O508" s="2"/>
      <c r="P508" s="27"/>
      <c r="Q508" s="2"/>
      <c r="R508" s="2"/>
    </row>
    <row r="509" spans="1:18" x14ac:dyDescent="0.35">
      <c r="A509" s="53">
        <v>145</v>
      </c>
      <c r="B509" s="53" t="s">
        <v>13</v>
      </c>
      <c r="C509" s="53" t="s">
        <v>32</v>
      </c>
      <c r="D509" s="53" t="s">
        <v>21</v>
      </c>
      <c r="E509" s="53" t="s">
        <v>25</v>
      </c>
      <c r="F509" s="54">
        <v>36947.18</v>
      </c>
      <c r="G509" s="53">
        <v>188048</v>
      </c>
      <c r="H509" s="53">
        <v>3816</v>
      </c>
      <c r="I509" s="53">
        <v>609</v>
      </c>
      <c r="J509" s="54">
        <v>61332.318800000001</v>
      </c>
      <c r="K509" s="55">
        <f t="shared" si="28"/>
        <v>0.66</v>
      </c>
      <c r="L509" s="56">
        <f t="shared" si="29"/>
        <v>0.66</v>
      </c>
      <c r="M509" s="56" t="str">
        <f t="shared" si="30"/>
        <v/>
      </c>
      <c r="N509" s="56" t="str">
        <f t="shared" si="31"/>
        <v>OK</v>
      </c>
      <c r="O509" s="2"/>
      <c r="P509" s="27"/>
      <c r="Q509" s="2"/>
      <c r="R509" s="2"/>
    </row>
    <row r="510" spans="1:18" x14ac:dyDescent="0.35">
      <c r="A510" s="57">
        <v>174</v>
      </c>
      <c r="B510" s="57" t="s">
        <v>12</v>
      </c>
      <c r="C510" s="57" t="s">
        <v>32</v>
      </c>
      <c r="D510" s="57" t="s">
        <v>21</v>
      </c>
      <c r="E510" s="57" t="s">
        <v>26</v>
      </c>
      <c r="F510" s="58">
        <v>35594.93</v>
      </c>
      <c r="G510" s="57">
        <v>435468</v>
      </c>
      <c r="H510" s="57">
        <v>7423</v>
      </c>
      <c r="I510" s="57">
        <v>547</v>
      </c>
      <c r="J510" s="58">
        <v>59087.5838</v>
      </c>
      <c r="K510" s="55">
        <f t="shared" si="28"/>
        <v>0.66</v>
      </c>
      <c r="L510" s="56">
        <f t="shared" si="29"/>
        <v>0.66</v>
      </c>
      <c r="M510" s="56" t="str">
        <f t="shared" si="30"/>
        <v/>
      </c>
      <c r="N510" s="56" t="str">
        <f t="shared" si="31"/>
        <v>OK</v>
      </c>
      <c r="O510" s="2"/>
      <c r="P510" s="27"/>
      <c r="Q510" s="2"/>
      <c r="R510" s="2"/>
    </row>
    <row r="511" spans="1:18" x14ac:dyDescent="0.35">
      <c r="A511" s="53">
        <v>379</v>
      </c>
      <c r="B511" s="53" t="s">
        <v>14</v>
      </c>
      <c r="C511" s="53" t="s">
        <v>32</v>
      </c>
      <c r="D511" s="53" t="s">
        <v>20</v>
      </c>
      <c r="E511" s="53" t="s">
        <v>26</v>
      </c>
      <c r="F511" s="54">
        <v>3895.6</v>
      </c>
      <c r="G511" s="53">
        <v>594010</v>
      </c>
      <c r="H511" s="53">
        <v>5692</v>
      </c>
      <c r="I511" s="53">
        <v>233</v>
      </c>
      <c r="J511" s="54">
        <v>6466.6959999999999</v>
      </c>
      <c r="K511" s="55">
        <f t="shared" si="28"/>
        <v>0.66</v>
      </c>
      <c r="L511" s="56">
        <f t="shared" si="29"/>
        <v>0.66</v>
      </c>
      <c r="M511" s="56" t="str">
        <f t="shared" si="30"/>
        <v/>
      </c>
      <c r="N511" s="56" t="str">
        <f t="shared" si="31"/>
        <v>OK</v>
      </c>
      <c r="O511" s="2"/>
      <c r="P511" s="27"/>
      <c r="Q511" s="2"/>
      <c r="R511" s="2"/>
    </row>
    <row r="512" spans="1:18" x14ac:dyDescent="0.35">
      <c r="A512" s="57">
        <v>502</v>
      </c>
      <c r="B512" s="57" t="s">
        <v>15</v>
      </c>
      <c r="C512" s="57" t="s">
        <v>32</v>
      </c>
      <c r="D512" s="57" t="s">
        <v>20</v>
      </c>
      <c r="E512" s="57" t="s">
        <v>24</v>
      </c>
      <c r="F512" s="58">
        <v>2453.7399999999998</v>
      </c>
      <c r="G512" s="57">
        <v>871248</v>
      </c>
      <c r="H512" s="57">
        <v>14098</v>
      </c>
      <c r="I512" s="57">
        <v>1003</v>
      </c>
      <c r="J512" s="58">
        <v>4073.2084</v>
      </c>
      <c r="K512" s="55">
        <f t="shared" si="28"/>
        <v>0.66000000000000014</v>
      </c>
      <c r="L512" s="56">
        <f t="shared" si="29"/>
        <v>0.66000000000000014</v>
      </c>
      <c r="M512" s="56" t="str">
        <f t="shared" si="30"/>
        <v/>
      </c>
      <c r="N512" s="56" t="str">
        <f t="shared" si="31"/>
        <v>OK</v>
      </c>
      <c r="O512" s="2"/>
      <c r="P512" s="27"/>
      <c r="Q512" s="2"/>
      <c r="R512" s="2"/>
    </row>
    <row r="513" spans="1:18" x14ac:dyDescent="0.35">
      <c r="A513" s="57">
        <v>632</v>
      </c>
      <c r="B513" s="57" t="s">
        <v>12</v>
      </c>
      <c r="C513" s="57" t="s">
        <v>32</v>
      </c>
      <c r="D513" s="57" t="s">
        <v>19</v>
      </c>
      <c r="E513" s="57" t="s">
        <v>28</v>
      </c>
      <c r="F513" s="58">
        <v>9248.51</v>
      </c>
      <c r="G513" s="57">
        <v>883096</v>
      </c>
      <c r="H513" s="57">
        <v>8195</v>
      </c>
      <c r="I513" s="57">
        <v>1083</v>
      </c>
      <c r="J513" s="58">
        <v>15445.011699999999</v>
      </c>
      <c r="K513" s="55">
        <f t="shared" si="28"/>
        <v>0.66999999999999982</v>
      </c>
      <c r="L513" s="56">
        <f t="shared" si="29"/>
        <v>0.66999999999999982</v>
      </c>
      <c r="M513" s="56" t="str">
        <f t="shared" si="30"/>
        <v/>
      </c>
      <c r="N513" s="56" t="str">
        <f t="shared" si="31"/>
        <v>OK</v>
      </c>
      <c r="O513" s="2"/>
      <c r="P513" s="27"/>
      <c r="Q513" s="2"/>
      <c r="R513" s="2"/>
    </row>
    <row r="514" spans="1:18" x14ac:dyDescent="0.35">
      <c r="A514" s="57">
        <v>596</v>
      </c>
      <c r="B514" s="57" t="s">
        <v>12</v>
      </c>
      <c r="C514" s="57" t="s">
        <v>32</v>
      </c>
      <c r="D514" s="57" t="s">
        <v>22</v>
      </c>
      <c r="E514" s="57" t="s">
        <v>26</v>
      </c>
      <c r="F514" s="58">
        <v>27023.18</v>
      </c>
      <c r="G514" s="57">
        <v>568685</v>
      </c>
      <c r="H514" s="57">
        <v>19305</v>
      </c>
      <c r="I514" s="57">
        <v>1777</v>
      </c>
      <c r="J514" s="58">
        <v>45128.710599999999</v>
      </c>
      <c r="K514" s="55">
        <f t="shared" ref="K514:K577" si="32">(J514-F514)/F514</f>
        <v>0.66999999999999993</v>
      </c>
      <c r="L514" s="56">
        <f t="shared" ref="L514:L577" si="33">IF(C514="Digital",K514,"")</f>
        <v>0.66999999999999993</v>
      </c>
      <c r="M514" s="56" t="str">
        <f t="shared" ref="M514:M577" si="34">IF(C514="Traditional",K514,"")</f>
        <v/>
      </c>
      <c r="N514" s="56" t="str">
        <f t="shared" ref="N514:N577" si="35">IF(H514&gt;G514,"ERROR: Clicks &gt; Impressions",IF(I514&gt;H514,"ERROR: Conversions &gt; Clicks","OK"))</f>
        <v>OK</v>
      </c>
      <c r="O514" s="2"/>
      <c r="P514" s="27"/>
      <c r="Q514" s="2"/>
      <c r="R514" s="2"/>
    </row>
    <row r="515" spans="1:18" x14ac:dyDescent="0.35">
      <c r="A515" s="57">
        <v>710</v>
      </c>
      <c r="B515" s="57" t="s">
        <v>13</v>
      </c>
      <c r="C515" s="57" t="s">
        <v>32</v>
      </c>
      <c r="D515" s="57" t="s">
        <v>19</v>
      </c>
      <c r="E515" s="57" t="s">
        <v>26</v>
      </c>
      <c r="F515" s="58">
        <v>43730.37</v>
      </c>
      <c r="G515" s="57">
        <v>810819</v>
      </c>
      <c r="H515" s="57">
        <v>13799</v>
      </c>
      <c r="I515" s="57">
        <v>850</v>
      </c>
      <c r="J515" s="58">
        <v>73029.717900000003</v>
      </c>
      <c r="K515" s="55">
        <f t="shared" si="32"/>
        <v>0.66999999999999993</v>
      </c>
      <c r="L515" s="56">
        <f t="shared" si="33"/>
        <v>0.66999999999999993</v>
      </c>
      <c r="M515" s="56" t="str">
        <f t="shared" si="34"/>
        <v/>
      </c>
      <c r="N515" s="56" t="str">
        <f t="shared" si="35"/>
        <v>OK</v>
      </c>
      <c r="O515" s="2"/>
      <c r="P515" s="27"/>
      <c r="Q515" s="2"/>
      <c r="R515" s="2"/>
    </row>
    <row r="516" spans="1:18" x14ac:dyDescent="0.35">
      <c r="A516" s="57">
        <v>780</v>
      </c>
      <c r="B516" s="57" t="s">
        <v>9</v>
      </c>
      <c r="C516" s="57" t="s">
        <v>31</v>
      </c>
      <c r="D516" s="57" t="s">
        <v>21</v>
      </c>
      <c r="E516" s="57" t="s">
        <v>26</v>
      </c>
      <c r="F516" s="58">
        <v>12498.02</v>
      </c>
      <c r="G516" s="57">
        <v>686473</v>
      </c>
      <c r="H516" s="57">
        <v>6885</v>
      </c>
      <c r="I516" s="57">
        <v>1529</v>
      </c>
      <c r="J516" s="58">
        <v>20871.6934</v>
      </c>
      <c r="K516" s="55">
        <f t="shared" si="32"/>
        <v>0.66999999999999993</v>
      </c>
      <c r="L516" s="56" t="str">
        <f t="shared" si="33"/>
        <v/>
      </c>
      <c r="M516" s="56">
        <f t="shared" si="34"/>
        <v>0.66999999999999993</v>
      </c>
      <c r="N516" s="56" t="str">
        <f t="shared" si="35"/>
        <v>OK</v>
      </c>
      <c r="O516" s="2"/>
      <c r="P516" s="27"/>
      <c r="Q516" s="2"/>
      <c r="R516" s="2"/>
    </row>
    <row r="517" spans="1:18" x14ac:dyDescent="0.35">
      <c r="A517" s="53">
        <v>51</v>
      </c>
      <c r="B517" s="53" t="s">
        <v>8</v>
      </c>
      <c r="C517" s="53" t="s">
        <v>31</v>
      </c>
      <c r="D517" s="53" t="s">
        <v>22</v>
      </c>
      <c r="E517" s="53" t="s">
        <v>28</v>
      </c>
      <c r="F517" s="54">
        <v>9849.14</v>
      </c>
      <c r="G517" s="53">
        <v>456790</v>
      </c>
      <c r="H517" s="53">
        <v>3848</v>
      </c>
      <c r="I517" s="53">
        <v>197</v>
      </c>
      <c r="J517" s="54">
        <v>16448.0638</v>
      </c>
      <c r="K517" s="55">
        <f t="shared" si="32"/>
        <v>0.67</v>
      </c>
      <c r="L517" s="56" t="str">
        <f t="shared" si="33"/>
        <v/>
      </c>
      <c r="M517" s="56">
        <f t="shared" si="34"/>
        <v>0.67</v>
      </c>
      <c r="N517" s="56" t="str">
        <f t="shared" si="35"/>
        <v>OK</v>
      </c>
      <c r="O517" s="2"/>
      <c r="P517" s="27"/>
      <c r="Q517" s="2"/>
      <c r="R517" s="2"/>
    </row>
    <row r="518" spans="1:18" x14ac:dyDescent="0.35">
      <c r="A518" s="53">
        <v>301</v>
      </c>
      <c r="B518" s="53" t="s">
        <v>11</v>
      </c>
      <c r="C518" s="53" t="s">
        <v>32</v>
      </c>
      <c r="D518" s="53" t="s">
        <v>20</v>
      </c>
      <c r="E518" s="53" t="s">
        <v>26</v>
      </c>
      <c r="F518" s="54">
        <v>30307.52</v>
      </c>
      <c r="G518" s="53">
        <v>841246</v>
      </c>
      <c r="H518" s="53">
        <v>5658</v>
      </c>
      <c r="I518" s="53">
        <v>399</v>
      </c>
      <c r="J518" s="54">
        <v>50613.558400000002</v>
      </c>
      <c r="K518" s="55">
        <f t="shared" si="32"/>
        <v>0.67</v>
      </c>
      <c r="L518" s="56">
        <f t="shared" si="33"/>
        <v>0.67</v>
      </c>
      <c r="M518" s="56" t="str">
        <f t="shared" si="34"/>
        <v/>
      </c>
      <c r="N518" s="56" t="str">
        <f t="shared" si="35"/>
        <v>OK</v>
      </c>
      <c r="O518" s="2"/>
      <c r="P518" s="27"/>
      <c r="Q518" s="2"/>
      <c r="R518" s="2"/>
    </row>
    <row r="519" spans="1:18" x14ac:dyDescent="0.35">
      <c r="A519" s="57">
        <v>566</v>
      </c>
      <c r="B519" s="57" t="s">
        <v>14</v>
      </c>
      <c r="C519" s="57" t="s">
        <v>32</v>
      </c>
      <c r="D519" s="57" t="s">
        <v>20</v>
      </c>
      <c r="E519" s="57" t="s">
        <v>25</v>
      </c>
      <c r="F519" s="58">
        <v>27584.18</v>
      </c>
      <c r="G519" s="57">
        <v>806883</v>
      </c>
      <c r="H519" s="57">
        <v>6178</v>
      </c>
      <c r="I519" s="57">
        <v>262</v>
      </c>
      <c r="J519" s="58">
        <v>46065.580600000001</v>
      </c>
      <c r="K519" s="55">
        <f t="shared" si="32"/>
        <v>0.67</v>
      </c>
      <c r="L519" s="56">
        <f t="shared" si="33"/>
        <v>0.67</v>
      </c>
      <c r="M519" s="56" t="str">
        <f t="shared" si="34"/>
        <v/>
      </c>
      <c r="N519" s="56" t="str">
        <f t="shared" si="35"/>
        <v>OK</v>
      </c>
      <c r="O519" s="2"/>
      <c r="P519" s="27"/>
      <c r="Q519" s="2"/>
      <c r="R519" s="2"/>
    </row>
    <row r="520" spans="1:18" x14ac:dyDescent="0.35">
      <c r="A520" s="57">
        <v>700</v>
      </c>
      <c r="B520" s="57" t="s">
        <v>9</v>
      </c>
      <c r="C520" s="57" t="s">
        <v>31</v>
      </c>
      <c r="D520" s="57" t="s">
        <v>18</v>
      </c>
      <c r="E520" s="57" t="s">
        <v>25</v>
      </c>
      <c r="F520" s="58">
        <v>12778.74</v>
      </c>
      <c r="G520" s="57">
        <v>12187</v>
      </c>
      <c r="H520" s="57">
        <v>9321</v>
      </c>
      <c r="I520" s="57">
        <v>1945</v>
      </c>
      <c r="J520" s="58">
        <v>21340.495800000001</v>
      </c>
      <c r="K520" s="55">
        <f t="shared" si="32"/>
        <v>0.67</v>
      </c>
      <c r="L520" s="56" t="str">
        <f t="shared" si="33"/>
        <v/>
      </c>
      <c r="M520" s="56">
        <f t="shared" si="34"/>
        <v>0.67</v>
      </c>
      <c r="N520" s="56" t="str">
        <f t="shared" si="35"/>
        <v>OK</v>
      </c>
      <c r="O520" s="2"/>
      <c r="P520" s="27"/>
      <c r="Q520" s="2"/>
      <c r="R520" s="2"/>
    </row>
    <row r="521" spans="1:18" x14ac:dyDescent="0.35">
      <c r="A521" s="57">
        <v>728</v>
      </c>
      <c r="B521" s="57" t="s">
        <v>9</v>
      </c>
      <c r="C521" s="57" t="s">
        <v>31</v>
      </c>
      <c r="D521" s="57" t="s">
        <v>22</v>
      </c>
      <c r="E521" s="57" t="s">
        <v>25</v>
      </c>
      <c r="F521" s="58">
        <v>1277.6199999999999</v>
      </c>
      <c r="G521" s="57">
        <v>665496</v>
      </c>
      <c r="H521" s="57">
        <v>14686</v>
      </c>
      <c r="I521" s="57">
        <v>1103</v>
      </c>
      <c r="J521" s="58">
        <v>2133.6253999999999</v>
      </c>
      <c r="K521" s="55">
        <f t="shared" si="32"/>
        <v>0.67</v>
      </c>
      <c r="L521" s="56" t="str">
        <f t="shared" si="33"/>
        <v/>
      </c>
      <c r="M521" s="56">
        <f t="shared" si="34"/>
        <v>0.67</v>
      </c>
      <c r="N521" s="56" t="str">
        <f t="shared" si="35"/>
        <v>OK</v>
      </c>
      <c r="O521" s="2"/>
      <c r="P521" s="27"/>
      <c r="Q521" s="2"/>
      <c r="R521" s="2"/>
    </row>
    <row r="522" spans="1:18" x14ac:dyDescent="0.35">
      <c r="A522" s="53">
        <v>899</v>
      </c>
      <c r="B522" s="53" t="s">
        <v>8</v>
      </c>
      <c r="C522" s="53" t="s">
        <v>31</v>
      </c>
      <c r="D522" s="53" t="s">
        <v>21</v>
      </c>
      <c r="E522" s="53" t="s">
        <v>25</v>
      </c>
      <c r="F522" s="54">
        <v>17272.87</v>
      </c>
      <c r="G522" s="53">
        <v>667941</v>
      </c>
      <c r="H522" s="53">
        <v>3109</v>
      </c>
      <c r="I522" s="53">
        <v>143</v>
      </c>
      <c r="J522" s="54">
        <v>28845.692899999998</v>
      </c>
      <c r="K522" s="55">
        <f t="shared" si="32"/>
        <v>0.67</v>
      </c>
      <c r="L522" s="56" t="str">
        <f t="shared" si="33"/>
        <v/>
      </c>
      <c r="M522" s="56">
        <f t="shared" si="34"/>
        <v>0.67</v>
      </c>
      <c r="N522" s="56" t="str">
        <f t="shared" si="35"/>
        <v>OK</v>
      </c>
      <c r="O522" s="2"/>
      <c r="P522" s="27"/>
      <c r="Q522" s="2"/>
      <c r="R522" s="2"/>
    </row>
    <row r="523" spans="1:18" x14ac:dyDescent="0.35">
      <c r="A523" s="53">
        <v>949</v>
      </c>
      <c r="B523" s="53" t="s">
        <v>10</v>
      </c>
      <c r="C523" s="53" t="s">
        <v>31</v>
      </c>
      <c r="D523" s="53" t="s">
        <v>20</v>
      </c>
      <c r="E523" s="53" t="s">
        <v>28</v>
      </c>
      <c r="F523" s="54">
        <v>34809.99</v>
      </c>
      <c r="G523" s="53">
        <v>811115</v>
      </c>
      <c r="H523" s="53">
        <v>6235</v>
      </c>
      <c r="I523" s="53">
        <v>625</v>
      </c>
      <c r="J523" s="54">
        <v>58132.683299999997</v>
      </c>
      <c r="K523" s="55">
        <f t="shared" si="32"/>
        <v>0.67</v>
      </c>
      <c r="L523" s="56" t="str">
        <f t="shared" si="33"/>
        <v/>
      </c>
      <c r="M523" s="56">
        <f t="shared" si="34"/>
        <v>0.67</v>
      </c>
      <c r="N523" s="56" t="str">
        <f t="shared" si="35"/>
        <v>OK</v>
      </c>
      <c r="O523" s="2"/>
      <c r="P523" s="27"/>
      <c r="Q523" s="2"/>
      <c r="R523" s="2"/>
    </row>
    <row r="524" spans="1:18" x14ac:dyDescent="0.35">
      <c r="A524" s="57">
        <v>984</v>
      </c>
      <c r="B524" s="57" t="s">
        <v>15</v>
      </c>
      <c r="C524" s="57" t="s">
        <v>32</v>
      </c>
      <c r="D524" s="57" t="s">
        <v>22</v>
      </c>
      <c r="E524" s="57" t="s">
        <v>29</v>
      </c>
      <c r="F524" s="58">
        <v>23489.21</v>
      </c>
      <c r="G524" s="57">
        <v>568981</v>
      </c>
      <c r="H524" s="57">
        <v>16855</v>
      </c>
      <c r="I524" s="57">
        <v>456</v>
      </c>
      <c r="J524" s="58">
        <v>39226.9807</v>
      </c>
      <c r="K524" s="55">
        <f t="shared" si="32"/>
        <v>0.67</v>
      </c>
      <c r="L524" s="56">
        <f t="shared" si="33"/>
        <v>0.67</v>
      </c>
      <c r="M524" s="56" t="str">
        <f t="shared" si="34"/>
        <v/>
      </c>
      <c r="N524" s="56" t="str">
        <f t="shared" si="35"/>
        <v>OK</v>
      </c>
      <c r="O524" s="2"/>
      <c r="P524" s="27"/>
      <c r="Q524" s="2"/>
      <c r="R524" s="2"/>
    </row>
    <row r="525" spans="1:18" x14ac:dyDescent="0.35">
      <c r="A525" s="53">
        <v>747</v>
      </c>
      <c r="B525" s="53" t="s">
        <v>9</v>
      </c>
      <c r="C525" s="53" t="s">
        <v>31</v>
      </c>
      <c r="D525" s="53" t="s">
        <v>21</v>
      </c>
      <c r="E525" s="53" t="s">
        <v>25</v>
      </c>
      <c r="F525" s="54">
        <v>43578.27</v>
      </c>
      <c r="G525" s="53">
        <v>299662</v>
      </c>
      <c r="H525" s="53">
        <v>6882</v>
      </c>
      <c r="I525" s="53">
        <v>525</v>
      </c>
      <c r="J525" s="54">
        <v>72775.710900000005</v>
      </c>
      <c r="K525" s="55">
        <f t="shared" si="32"/>
        <v>0.67000000000000026</v>
      </c>
      <c r="L525" s="56" t="str">
        <f t="shared" si="33"/>
        <v/>
      </c>
      <c r="M525" s="56">
        <f t="shared" si="34"/>
        <v>0.67000000000000026</v>
      </c>
      <c r="N525" s="56" t="str">
        <f t="shared" si="35"/>
        <v>OK</v>
      </c>
      <c r="O525" s="2"/>
      <c r="P525" s="27"/>
      <c r="Q525" s="2"/>
      <c r="R525" s="2"/>
    </row>
    <row r="526" spans="1:18" x14ac:dyDescent="0.35">
      <c r="A526" s="57">
        <v>438</v>
      </c>
      <c r="B526" s="57" t="s">
        <v>13</v>
      </c>
      <c r="C526" s="57" t="s">
        <v>32</v>
      </c>
      <c r="D526" s="57" t="s">
        <v>20</v>
      </c>
      <c r="E526" s="57" t="s">
        <v>29</v>
      </c>
      <c r="F526" s="58">
        <v>11791.04</v>
      </c>
      <c r="G526" s="57">
        <v>166989</v>
      </c>
      <c r="H526" s="57">
        <v>5017</v>
      </c>
      <c r="I526" s="57">
        <v>1366</v>
      </c>
      <c r="J526" s="58">
        <v>19808.947199999999</v>
      </c>
      <c r="K526" s="55">
        <f t="shared" si="32"/>
        <v>0.67999999999999972</v>
      </c>
      <c r="L526" s="56">
        <f t="shared" si="33"/>
        <v>0.67999999999999972</v>
      </c>
      <c r="M526" s="56" t="str">
        <f t="shared" si="34"/>
        <v/>
      </c>
      <c r="N526" s="56" t="str">
        <f t="shared" si="35"/>
        <v>OK</v>
      </c>
      <c r="O526" s="2"/>
      <c r="P526" s="27"/>
      <c r="Q526" s="2"/>
      <c r="R526" s="2"/>
    </row>
    <row r="527" spans="1:18" x14ac:dyDescent="0.35">
      <c r="A527" s="57">
        <v>454</v>
      </c>
      <c r="B527" s="57" t="s">
        <v>10</v>
      </c>
      <c r="C527" s="57" t="s">
        <v>31</v>
      </c>
      <c r="D527" s="57" t="s">
        <v>19</v>
      </c>
      <c r="E527" s="57" t="s">
        <v>25</v>
      </c>
      <c r="F527" s="58">
        <v>9358.51</v>
      </c>
      <c r="G527" s="57">
        <v>566376</v>
      </c>
      <c r="H527" s="57">
        <v>12680</v>
      </c>
      <c r="I527" s="57">
        <v>1655</v>
      </c>
      <c r="J527" s="58">
        <v>15722.2968</v>
      </c>
      <c r="K527" s="55">
        <f t="shared" si="32"/>
        <v>0.67999999999999994</v>
      </c>
      <c r="L527" s="56" t="str">
        <f t="shared" si="33"/>
        <v/>
      </c>
      <c r="M527" s="56">
        <f t="shared" si="34"/>
        <v>0.67999999999999994</v>
      </c>
      <c r="N527" s="56" t="str">
        <f t="shared" si="35"/>
        <v>OK</v>
      </c>
      <c r="O527" s="2"/>
      <c r="P527" s="27"/>
      <c r="Q527" s="2"/>
      <c r="R527" s="2"/>
    </row>
    <row r="528" spans="1:18" x14ac:dyDescent="0.35">
      <c r="A528" s="53">
        <v>209</v>
      </c>
      <c r="B528" s="53" t="s">
        <v>10</v>
      </c>
      <c r="C528" s="53" t="s">
        <v>31</v>
      </c>
      <c r="D528" s="53" t="s">
        <v>22</v>
      </c>
      <c r="E528" s="53" t="s">
        <v>24</v>
      </c>
      <c r="F528" s="54">
        <v>36889.99</v>
      </c>
      <c r="G528" s="53">
        <v>950568</v>
      </c>
      <c r="H528" s="53">
        <v>13332</v>
      </c>
      <c r="I528" s="53">
        <v>1120</v>
      </c>
      <c r="J528" s="54">
        <v>61975.183199999999</v>
      </c>
      <c r="K528" s="55">
        <f t="shared" si="32"/>
        <v>0.68</v>
      </c>
      <c r="L528" s="56" t="str">
        <f t="shared" si="33"/>
        <v/>
      </c>
      <c r="M528" s="56">
        <f t="shared" si="34"/>
        <v>0.68</v>
      </c>
      <c r="N528" s="56" t="str">
        <f t="shared" si="35"/>
        <v>OK</v>
      </c>
      <c r="O528" s="2"/>
      <c r="P528" s="27"/>
      <c r="Q528" s="2"/>
      <c r="R528" s="2"/>
    </row>
    <row r="529" spans="1:18" x14ac:dyDescent="0.35">
      <c r="A529" s="57">
        <v>318</v>
      </c>
      <c r="B529" s="57" t="s">
        <v>11</v>
      </c>
      <c r="C529" s="57" t="s">
        <v>32</v>
      </c>
      <c r="D529" s="57" t="s">
        <v>20</v>
      </c>
      <c r="E529" s="57" t="s">
        <v>27</v>
      </c>
      <c r="F529" s="58">
        <v>49856.83</v>
      </c>
      <c r="G529" s="57">
        <v>80305</v>
      </c>
      <c r="H529" s="57">
        <v>18058</v>
      </c>
      <c r="I529" s="57">
        <v>1557</v>
      </c>
      <c r="J529" s="58">
        <v>83759.474400000006</v>
      </c>
      <c r="K529" s="55">
        <f t="shared" si="32"/>
        <v>0.68</v>
      </c>
      <c r="L529" s="56">
        <f t="shared" si="33"/>
        <v>0.68</v>
      </c>
      <c r="M529" s="56" t="str">
        <f t="shared" si="34"/>
        <v/>
      </c>
      <c r="N529" s="56" t="str">
        <f t="shared" si="35"/>
        <v>OK</v>
      </c>
      <c r="O529" s="2"/>
      <c r="P529" s="27"/>
      <c r="Q529" s="2"/>
      <c r="R529" s="2"/>
    </row>
    <row r="530" spans="1:18" x14ac:dyDescent="0.35">
      <c r="A530" s="57">
        <v>436</v>
      </c>
      <c r="B530" s="57" t="s">
        <v>13</v>
      </c>
      <c r="C530" s="57" t="s">
        <v>32</v>
      </c>
      <c r="D530" s="57" t="s">
        <v>21</v>
      </c>
      <c r="E530" s="57" t="s">
        <v>29</v>
      </c>
      <c r="F530" s="58">
        <v>33282.43</v>
      </c>
      <c r="G530" s="57">
        <v>105556</v>
      </c>
      <c r="H530" s="57">
        <v>13001</v>
      </c>
      <c r="I530" s="57">
        <v>1861</v>
      </c>
      <c r="J530" s="58">
        <v>55914.482400000001</v>
      </c>
      <c r="K530" s="55">
        <f t="shared" si="32"/>
        <v>0.68</v>
      </c>
      <c r="L530" s="56">
        <f t="shared" si="33"/>
        <v>0.68</v>
      </c>
      <c r="M530" s="56" t="str">
        <f t="shared" si="34"/>
        <v/>
      </c>
      <c r="N530" s="56" t="str">
        <f t="shared" si="35"/>
        <v>OK</v>
      </c>
      <c r="O530" s="2"/>
      <c r="P530" s="27"/>
      <c r="Q530" s="2"/>
      <c r="R530" s="2"/>
    </row>
    <row r="531" spans="1:18" x14ac:dyDescent="0.35">
      <c r="A531" s="57">
        <v>340</v>
      </c>
      <c r="B531" s="57" t="s">
        <v>12</v>
      </c>
      <c r="C531" s="57" t="s">
        <v>32</v>
      </c>
      <c r="D531" s="57" t="s">
        <v>18</v>
      </c>
      <c r="E531" s="57" t="s">
        <v>25</v>
      </c>
      <c r="F531" s="58">
        <v>44111.27</v>
      </c>
      <c r="G531" s="57">
        <v>941298</v>
      </c>
      <c r="H531" s="57">
        <v>17182</v>
      </c>
      <c r="I531" s="57">
        <v>283</v>
      </c>
      <c r="J531" s="58">
        <v>74106.933600000004</v>
      </c>
      <c r="K531" s="55">
        <f t="shared" si="32"/>
        <v>0.68000000000000016</v>
      </c>
      <c r="L531" s="56">
        <f t="shared" si="33"/>
        <v>0.68000000000000016</v>
      </c>
      <c r="M531" s="56" t="str">
        <f t="shared" si="34"/>
        <v/>
      </c>
      <c r="N531" s="56" t="str">
        <f t="shared" si="35"/>
        <v>OK</v>
      </c>
      <c r="O531" s="2"/>
      <c r="P531" s="27"/>
      <c r="Q531" s="2"/>
      <c r="R531" s="2"/>
    </row>
    <row r="532" spans="1:18" x14ac:dyDescent="0.35">
      <c r="A532" s="57">
        <v>820</v>
      </c>
      <c r="B532" s="57" t="s">
        <v>11</v>
      </c>
      <c r="C532" s="57" t="s">
        <v>32</v>
      </c>
      <c r="D532" s="57" t="s">
        <v>22</v>
      </c>
      <c r="E532" s="57" t="s">
        <v>26</v>
      </c>
      <c r="F532" s="58">
        <v>46578.38</v>
      </c>
      <c r="G532" s="57">
        <v>316081</v>
      </c>
      <c r="H532" s="57">
        <v>9075</v>
      </c>
      <c r="I532" s="57">
        <v>808</v>
      </c>
      <c r="J532" s="58">
        <v>78251.678400000004</v>
      </c>
      <c r="K532" s="55">
        <f t="shared" si="32"/>
        <v>0.68000000000000016</v>
      </c>
      <c r="L532" s="56">
        <f t="shared" si="33"/>
        <v>0.68000000000000016</v>
      </c>
      <c r="M532" s="56" t="str">
        <f t="shared" si="34"/>
        <v/>
      </c>
      <c r="N532" s="56" t="str">
        <f t="shared" si="35"/>
        <v>OK</v>
      </c>
      <c r="O532" s="2"/>
      <c r="P532" s="27"/>
      <c r="Q532" s="2"/>
      <c r="R532" s="2"/>
    </row>
    <row r="533" spans="1:18" x14ac:dyDescent="0.35">
      <c r="A533" s="57">
        <v>202</v>
      </c>
      <c r="B533" s="57" t="s">
        <v>13</v>
      </c>
      <c r="C533" s="57" t="s">
        <v>32</v>
      </c>
      <c r="D533" s="57" t="s">
        <v>21</v>
      </c>
      <c r="E533" s="57" t="s">
        <v>26</v>
      </c>
      <c r="F533" s="58">
        <v>31365.27</v>
      </c>
      <c r="G533" s="57">
        <v>163484</v>
      </c>
      <c r="H533" s="57">
        <v>15260</v>
      </c>
      <c r="I533" s="57">
        <v>1214</v>
      </c>
      <c r="J533" s="58">
        <v>53007.306299999997</v>
      </c>
      <c r="K533" s="55">
        <f t="shared" si="32"/>
        <v>0.68999999999999984</v>
      </c>
      <c r="L533" s="56">
        <f t="shared" si="33"/>
        <v>0.68999999999999984</v>
      </c>
      <c r="M533" s="56" t="str">
        <f t="shared" si="34"/>
        <v/>
      </c>
      <c r="N533" s="56" t="str">
        <f t="shared" si="35"/>
        <v>OK</v>
      </c>
      <c r="O533" s="2"/>
      <c r="P533" s="27"/>
      <c r="Q533" s="2"/>
      <c r="R533" s="2"/>
    </row>
    <row r="534" spans="1:18" x14ac:dyDescent="0.35">
      <c r="A534" s="57">
        <v>612</v>
      </c>
      <c r="B534" s="57" t="s">
        <v>14</v>
      </c>
      <c r="C534" s="57" t="s">
        <v>32</v>
      </c>
      <c r="D534" s="57" t="s">
        <v>17</v>
      </c>
      <c r="E534" s="57" t="s">
        <v>29</v>
      </c>
      <c r="F534" s="58">
        <v>16347.11</v>
      </c>
      <c r="G534" s="57">
        <v>893520</v>
      </c>
      <c r="H534" s="57">
        <v>11368</v>
      </c>
      <c r="I534" s="57">
        <v>500</v>
      </c>
      <c r="J534" s="58">
        <v>27626.615900000001</v>
      </c>
      <c r="K534" s="55">
        <f t="shared" si="32"/>
        <v>0.69</v>
      </c>
      <c r="L534" s="56">
        <f t="shared" si="33"/>
        <v>0.69</v>
      </c>
      <c r="M534" s="56" t="str">
        <f t="shared" si="34"/>
        <v/>
      </c>
      <c r="N534" s="56" t="str">
        <f t="shared" si="35"/>
        <v>OK</v>
      </c>
      <c r="O534" s="2"/>
      <c r="P534" s="27"/>
      <c r="Q534" s="2"/>
      <c r="R534" s="2"/>
    </row>
    <row r="535" spans="1:18" x14ac:dyDescent="0.35">
      <c r="A535" s="57">
        <v>862</v>
      </c>
      <c r="B535" s="57" t="s">
        <v>11</v>
      </c>
      <c r="C535" s="57" t="s">
        <v>32</v>
      </c>
      <c r="D535" s="57" t="s">
        <v>22</v>
      </c>
      <c r="E535" s="57" t="s">
        <v>28</v>
      </c>
      <c r="F535" s="58">
        <v>34427.5</v>
      </c>
      <c r="G535" s="57">
        <v>936863</v>
      </c>
      <c r="H535" s="57">
        <v>1261</v>
      </c>
      <c r="I535" s="57">
        <v>1580</v>
      </c>
      <c r="J535" s="58">
        <v>58182.474999999999</v>
      </c>
      <c r="K535" s="55">
        <f t="shared" si="32"/>
        <v>0.69</v>
      </c>
      <c r="L535" s="56">
        <f t="shared" si="33"/>
        <v>0.69</v>
      </c>
      <c r="M535" s="56" t="str">
        <f t="shared" si="34"/>
        <v/>
      </c>
      <c r="N535" s="56" t="str">
        <f t="shared" si="35"/>
        <v>ERROR: Conversions &gt; Clicks</v>
      </c>
      <c r="O535" s="2"/>
      <c r="P535" s="27"/>
      <c r="Q535" s="2"/>
      <c r="R535" s="2"/>
    </row>
    <row r="536" spans="1:18" x14ac:dyDescent="0.35">
      <c r="A536" s="53">
        <v>963</v>
      </c>
      <c r="B536" s="53" t="s">
        <v>10</v>
      </c>
      <c r="C536" s="53" t="s">
        <v>31</v>
      </c>
      <c r="D536" s="53" t="s">
        <v>20</v>
      </c>
      <c r="E536" s="53" t="s">
        <v>27</v>
      </c>
      <c r="F536" s="54">
        <v>38281.86</v>
      </c>
      <c r="G536" s="53">
        <v>962164</v>
      </c>
      <c r="H536" s="53">
        <v>8144</v>
      </c>
      <c r="I536" s="53">
        <v>1918</v>
      </c>
      <c r="J536" s="54">
        <v>64696.343399999998</v>
      </c>
      <c r="K536" s="55">
        <f t="shared" si="32"/>
        <v>0.69</v>
      </c>
      <c r="L536" s="56" t="str">
        <f t="shared" si="33"/>
        <v/>
      </c>
      <c r="M536" s="56">
        <f t="shared" si="34"/>
        <v>0.69</v>
      </c>
      <c r="N536" s="56" t="str">
        <f t="shared" si="35"/>
        <v>OK</v>
      </c>
      <c r="O536" s="2"/>
      <c r="P536" s="27"/>
      <c r="Q536" s="2"/>
      <c r="R536" s="2"/>
    </row>
    <row r="537" spans="1:18" x14ac:dyDescent="0.35">
      <c r="A537" s="53">
        <v>749</v>
      </c>
      <c r="B537" s="53" t="s">
        <v>11</v>
      </c>
      <c r="C537" s="53" t="s">
        <v>32</v>
      </c>
      <c r="D537" s="53" t="s">
        <v>17</v>
      </c>
      <c r="E537" s="53" t="s">
        <v>24</v>
      </c>
      <c r="F537" s="54">
        <v>6533.65</v>
      </c>
      <c r="G537" s="53">
        <v>200920</v>
      </c>
      <c r="H537" s="53">
        <v>11718</v>
      </c>
      <c r="I537" s="53">
        <v>1201</v>
      </c>
      <c r="J537" s="54">
        <v>11041.8685</v>
      </c>
      <c r="K537" s="55">
        <f t="shared" si="32"/>
        <v>0.69000000000000017</v>
      </c>
      <c r="L537" s="56">
        <f t="shared" si="33"/>
        <v>0.69000000000000017</v>
      </c>
      <c r="M537" s="56" t="str">
        <f t="shared" si="34"/>
        <v/>
      </c>
      <c r="N537" s="56" t="str">
        <f t="shared" si="35"/>
        <v>OK</v>
      </c>
      <c r="O537" s="2"/>
      <c r="P537" s="27"/>
      <c r="Q537" s="2"/>
      <c r="R537" s="2"/>
    </row>
    <row r="538" spans="1:18" x14ac:dyDescent="0.35">
      <c r="A538" s="53">
        <v>291</v>
      </c>
      <c r="B538" s="53" t="s">
        <v>11</v>
      </c>
      <c r="C538" s="53" t="s">
        <v>32</v>
      </c>
      <c r="D538" s="53" t="s">
        <v>20</v>
      </c>
      <c r="E538" s="53" t="s">
        <v>26</v>
      </c>
      <c r="F538" s="54">
        <v>44950.94</v>
      </c>
      <c r="G538" s="53">
        <v>313664</v>
      </c>
      <c r="H538" s="53">
        <v>14131</v>
      </c>
      <c r="I538" s="53">
        <v>264</v>
      </c>
      <c r="J538" s="54">
        <v>76416.597999999998</v>
      </c>
      <c r="K538" s="55">
        <f t="shared" si="32"/>
        <v>0.69999999999999984</v>
      </c>
      <c r="L538" s="56">
        <f t="shared" si="33"/>
        <v>0.69999999999999984</v>
      </c>
      <c r="M538" s="56" t="str">
        <f t="shared" si="34"/>
        <v/>
      </c>
      <c r="N538" s="56" t="str">
        <f t="shared" si="35"/>
        <v>OK</v>
      </c>
      <c r="O538" s="2"/>
      <c r="P538" s="27"/>
      <c r="Q538" s="2"/>
      <c r="R538" s="2"/>
    </row>
    <row r="539" spans="1:18" x14ac:dyDescent="0.35">
      <c r="A539" s="53">
        <v>351</v>
      </c>
      <c r="B539" s="53" t="s">
        <v>12</v>
      </c>
      <c r="C539" s="53" t="s">
        <v>32</v>
      </c>
      <c r="D539" s="53" t="s">
        <v>17</v>
      </c>
      <c r="E539" s="53" t="s">
        <v>26</v>
      </c>
      <c r="F539" s="54">
        <v>22339.77</v>
      </c>
      <c r="G539" s="53">
        <v>135355</v>
      </c>
      <c r="H539" s="53">
        <v>16016</v>
      </c>
      <c r="I539" s="53">
        <v>1988</v>
      </c>
      <c r="J539" s="54">
        <v>37977.608999999997</v>
      </c>
      <c r="K539" s="55">
        <f t="shared" si="32"/>
        <v>0.69999999999999984</v>
      </c>
      <c r="L539" s="56">
        <f t="shared" si="33"/>
        <v>0.69999999999999984</v>
      </c>
      <c r="M539" s="56" t="str">
        <f t="shared" si="34"/>
        <v/>
      </c>
      <c r="N539" s="56" t="str">
        <f t="shared" si="35"/>
        <v>OK</v>
      </c>
      <c r="O539" s="2"/>
      <c r="P539" s="27"/>
      <c r="Q539" s="2"/>
      <c r="R539" s="2"/>
    </row>
    <row r="540" spans="1:18" x14ac:dyDescent="0.35">
      <c r="A540" s="53">
        <v>813</v>
      </c>
      <c r="B540" s="53" t="s">
        <v>11</v>
      </c>
      <c r="C540" s="53" t="s">
        <v>32</v>
      </c>
      <c r="D540" s="53" t="s">
        <v>17</v>
      </c>
      <c r="E540" s="53" t="s">
        <v>26</v>
      </c>
      <c r="F540" s="54">
        <v>21696.84</v>
      </c>
      <c r="G540" s="53">
        <v>241324</v>
      </c>
      <c r="H540" s="53">
        <v>14071</v>
      </c>
      <c r="I540" s="53">
        <v>1184</v>
      </c>
      <c r="J540" s="54">
        <v>36884.627999999997</v>
      </c>
      <c r="K540" s="55">
        <f t="shared" si="32"/>
        <v>0.69999999999999984</v>
      </c>
      <c r="L540" s="56">
        <f t="shared" si="33"/>
        <v>0.69999999999999984</v>
      </c>
      <c r="M540" s="56" t="str">
        <f t="shared" si="34"/>
        <v/>
      </c>
      <c r="N540" s="56" t="str">
        <f t="shared" si="35"/>
        <v>OK</v>
      </c>
      <c r="O540" s="2"/>
      <c r="P540" s="27"/>
      <c r="Q540" s="2"/>
      <c r="R540" s="2"/>
    </row>
    <row r="541" spans="1:18" x14ac:dyDescent="0.35">
      <c r="A541" s="57">
        <v>28</v>
      </c>
      <c r="B541" s="57" t="s">
        <v>14</v>
      </c>
      <c r="C541" s="57" t="s">
        <v>32</v>
      </c>
      <c r="D541" s="57" t="s">
        <v>18</v>
      </c>
      <c r="E541" s="57" t="s">
        <v>29</v>
      </c>
      <c r="F541" s="58">
        <v>6429.59</v>
      </c>
      <c r="G541" s="57">
        <v>161094</v>
      </c>
      <c r="H541" s="57">
        <v>10844</v>
      </c>
      <c r="I541" s="57">
        <v>1763</v>
      </c>
      <c r="J541" s="58">
        <v>10930.303</v>
      </c>
      <c r="K541" s="55">
        <f t="shared" si="32"/>
        <v>0.7</v>
      </c>
      <c r="L541" s="56">
        <f t="shared" si="33"/>
        <v>0.7</v>
      </c>
      <c r="M541" s="56" t="str">
        <f t="shared" si="34"/>
        <v/>
      </c>
      <c r="N541" s="56" t="str">
        <f t="shared" si="35"/>
        <v>OK</v>
      </c>
      <c r="O541" s="2"/>
      <c r="P541" s="27"/>
      <c r="Q541" s="2"/>
      <c r="R541" s="2"/>
    </row>
    <row r="542" spans="1:18" x14ac:dyDescent="0.35">
      <c r="A542" s="57">
        <v>952</v>
      </c>
      <c r="B542" s="57" t="s">
        <v>12</v>
      </c>
      <c r="C542" s="57" t="s">
        <v>32</v>
      </c>
      <c r="D542" s="57" t="s">
        <v>18</v>
      </c>
      <c r="E542" s="57" t="s">
        <v>28</v>
      </c>
      <c r="F542" s="58">
        <v>25368.31</v>
      </c>
      <c r="G542" s="57">
        <v>683249</v>
      </c>
      <c r="H542" s="57">
        <v>7289</v>
      </c>
      <c r="I542" s="57">
        <v>10</v>
      </c>
      <c r="J542" s="58">
        <v>43126.127</v>
      </c>
      <c r="K542" s="55">
        <f t="shared" si="32"/>
        <v>0.7</v>
      </c>
      <c r="L542" s="56">
        <f t="shared" si="33"/>
        <v>0.7</v>
      </c>
      <c r="M542" s="56" t="str">
        <f t="shared" si="34"/>
        <v/>
      </c>
      <c r="N542" s="56" t="str">
        <f t="shared" si="35"/>
        <v>OK</v>
      </c>
      <c r="O542" s="2"/>
      <c r="P542" s="27"/>
      <c r="Q542" s="2"/>
      <c r="R542" s="2"/>
    </row>
    <row r="543" spans="1:18" x14ac:dyDescent="0.35">
      <c r="A543" s="57">
        <v>16</v>
      </c>
      <c r="B543" s="57" t="s">
        <v>15</v>
      </c>
      <c r="C543" s="57" t="s">
        <v>32</v>
      </c>
      <c r="D543" s="57" t="s">
        <v>21</v>
      </c>
      <c r="E543" s="57" t="s">
        <v>29</v>
      </c>
      <c r="F543" s="58">
        <v>24434.51</v>
      </c>
      <c r="G543" s="57">
        <v>421236</v>
      </c>
      <c r="H543" s="57">
        <v>12782</v>
      </c>
      <c r="I543" s="57">
        <v>1280</v>
      </c>
      <c r="J543" s="58">
        <v>41538.667000000001</v>
      </c>
      <c r="K543" s="55">
        <f t="shared" si="32"/>
        <v>0.70000000000000018</v>
      </c>
      <c r="L543" s="56">
        <f t="shared" si="33"/>
        <v>0.70000000000000018</v>
      </c>
      <c r="M543" s="56" t="str">
        <f t="shared" si="34"/>
        <v/>
      </c>
      <c r="N543" s="56" t="str">
        <f t="shared" si="35"/>
        <v>OK</v>
      </c>
      <c r="O543" s="2"/>
      <c r="P543" s="27"/>
      <c r="Q543" s="2"/>
      <c r="R543" s="2"/>
    </row>
    <row r="544" spans="1:18" x14ac:dyDescent="0.35">
      <c r="A544" s="57">
        <v>182</v>
      </c>
      <c r="B544" s="57" t="s">
        <v>8</v>
      </c>
      <c r="C544" s="57" t="s">
        <v>31</v>
      </c>
      <c r="D544" s="57" t="s">
        <v>17</v>
      </c>
      <c r="E544" s="57" t="s">
        <v>26</v>
      </c>
      <c r="F544" s="58">
        <v>12035.96</v>
      </c>
      <c r="G544" s="57">
        <v>528823</v>
      </c>
      <c r="H544" s="57">
        <v>11513</v>
      </c>
      <c r="I544" s="57">
        <v>343</v>
      </c>
      <c r="J544" s="58">
        <v>20461.132000000001</v>
      </c>
      <c r="K544" s="55">
        <f t="shared" si="32"/>
        <v>0.70000000000000029</v>
      </c>
      <c r="L544" s="56" t="str">
        <f t="shared" si="33"/>
        <v/>
      </c>
      <c r="M544" s="56">
        <f t="shared" si="34"/>
        <v>0.70000000000000029</v>
      </c>
      <c r="N544" s="56" t="str">
        <f t="shared" si="35"/>
        <v>OK</v>
      </c>
      <c r="O544" s="2"/>
      <c r="P544" s="27"/>
      <c r="Q544" s="2"/>
      <c r="R544" s="2"/>
    </row>
    <row r="545" spans="1:18" x14ac:dyDescent="0.35">
      <c r="A545" s="57">
        <v>82</v>
      </c>
      <c r="B545" s="57" t="s">
        <v>12</v>
      </c>
      <c r="C545" s="57" t="s">
        <v>32</v>
      </c>
      <c r="D545" s="57" t="s">
        <v>20</v>
      </c>
      <c r="E545" s="57" t="s">
        <v>28</v>
      </c>
      <c r="F545" s="58">
        <v>44111.01</v>
      </c>
      <c r="G545" s="57">
        <v>763494</v>
      </c>
      <c r="H545" s="57">
        <v>15008</v>
      </c>
      <c r="I545" s="57">
        <v>1233</v>
      </c>
      <c r="J545" s="58">
        <v>75429.827099999995</v>
      </c>
      <c r="K545" s="55">
        <f t="shared" si="32"/>
        <v>0.70999999999999985</v>
      </c>
      <c r="L545" s="56">
        <f t="shared" si="33"/>
        <v>0.70999999999999985</v>
      </c>
      <c r="M545" s="56" t="str">
        <f t="shared" si="34"/>
        <v/>
      </c>
      <c r="N545" s="56" t="str">
        <f t="shared" si="35"/>
        <v>OK</v>
      </c>
      <c r="O545" s="2"/>
      <c r="P545" s="27"/>
      <c r="Q545" s="2"/>
      <c r="R545" s="2"/>
    </row>
    <row r="546" spans="1:18" x14ac:dyDescent="0.35">
      <c r="A546" s="53">
        <v>459</v>
      </c>
      <c r="B546" s="53" t="s">
        <v>9</v>
      </c>
      <c r="C546" s="53" t="s">
        <v>31</v>
      </c>
      <c r="D546" s="53" t="s">
        <v>20</v>
      </c>
      <c r="E546" s="53" t="s">
        <v>25</v>
      </c>
      <c r="F546" s="54">
        <v>34144.89</v>
      </c>
      <c r="G546" s="53">
        <v>206375</v>
      </c>
      <c r="H546" s="53">
        <v>3459</v>
      </c>
      <c r="I546" s="53">
        <v>21</v>
      </c>
      <c r="J546" s="54">
        <v>58387.761899999998</v>
      </c>
      <c r="K546" s="55">
        <f t="shared" si="32"/>
        <v>0.71</v>
      </c>
      <c r="L546" s="56" t="str">
        <f t="shared" si="33"/>
        <v/>
      </c>
      <c r="M546" s="56">
        <f t="shared" si="34"/>
        <v>0.71</v>
      </c>
      <c r="N546" s="56" t="str">
        <f t="shared" si="35"/>
        <v>OK</v>
      </c>
      <c r="O546" s="2"/>
      <c r="P546" s="27"/>
      <c r="Q546" s="2"/>
      <c r="R546" s="2"/>
    </row>
    <row r="547" spans="1:18" x14ac:dyDescent="0.35">
      <c r="A547" s="57">
        <v>570</v>
      </c>
      <c r="B547" s="57" t="s">
        <v>8</v>
      </c>
      <c r="C547" s="57" t="s">
        <v>31</v>
      </c>
      <c r="D547" s="57" t="s">
        <v>20</v>
      </c>
      <c r="E547" s="57" t="s">
        <v>27</v>
      </c>
      <c r="F547" s="58">
        <v>19827.740000000002</v>
      </c>
      <c r="G547" s="57">
        <v>231552</v>
      </c>
      <c r="H547" s="57">
        <v>8906</v>
      </c>
      <c r="I547" s="57">
        <v>419</v>
      </c>
      <c r="J547" s="58">
        <v>33905.435400000002</v>
      </c>
      <c r="K547" s="55">
        <f t="shared" si="32"/>
        <v>0.71</v>
      </c>
      <c r="L547" s="56" t="str">
        <f t="shared" si="33"/>
        <v/>
      </c>
      <c r="M547" s="56">
        <f t="shared" si="34"/>
        <v>0.71</v>
      </c>
      <c r="N547" s="56" t="str">
        <f t="shared" si="35"/>
        <v>OK</v>
      </c>
      <c r="O547" s="2"/>
      <c r="P547" s="27"/>
      <c r="Q547" s="2"/>
      <c r="R547" s="2"/>
    </row>
    <row r="548" spans="1:18" x14ac:dyDescent="0.35">
      <c r="A548" s="53">
        <v>93</v>
      </c>
      <c r="B548" s="53" t="s">
        <v>14</v>
      </c>
      <c r="C548" s="53" t="s">
        <v>32</v>
      </c>
      <c r="D548" s="53" t="s">
        <v>17</v>
      </c>
      <c r="E548" s="53" t="s">
        <v>25</v>
      </c>
      <c r="F548" s="54">
        <v>42158.239999999998</v>
      </c>
      <c r="G548" s="53">
        <v>315505</v>
      </c>
      <c r="H548" s="53">
        <v>14382</v>
      </c>
      <c r="I548" s="53">
        <v>1053</v>
      </c>
      <c r="J548" s="54">
        <v>72090.590400000001</v>
      </c>
      <c r="K548" s="55">
        <f t="shared" si="32"/>
        <v>0.71000000000000008</v>
      </c>
      <c r="L548" s="56">
        <f t="shared" si="33"/>
        <v>0.71000000000000008</v>
      </c>
      <c r="M548" s="56" t="str">
        <f t="shared" si="34"/>
        <v/>
      </c>
      <c r="N548" s="56" t="str">
        <f t="shared" si="35"/>
        <v>OK</v>
      </c>
      <c r="O548" s="2"/>
      <c r="P548" s="27"/>
      <c r="Q548" s="2"/>
      <c r="R548" s="2"/>
    </row>
    <row r="549" spans="1:18" x14ac:dyDescent="0.35">
      <c r="A549" s="57">
        <v>114</v>
      </c>
      <c r="B549" s="57" t="s">
        <v>10</v>
      </c>
      <c r="C549" s="57" t="s">
        <v>31</v>
      </c>
      <c r="D549" s="57" t="s">
        <v>19</v>
      </c>
      <c r="E549" s="57" t="s">
        <v>26</v>
      </c>
      <c r="F549" s="58">
        <v>9884.64</v>
      </c>
      <c r="G549" s="57">
        <v>729174</v>
      </c>
      <c r="H549" s="57">
        <v>4578</v>
      </c>
      <c r="I549" s="57">
        <v>1917</v>
      </c>
      <c r="J549" s="58">
        <v>16902.734400000001</v>
      </c>
      <c r="K549" s="55">
        <f t="shared" si="32"/>
        <v>0.71000000000000019</v>
      </c>
      <c r="L549" s="56" t="str">
        <f t="shared" si="33"/>
        <v/>
      </c>
      <c r="M549" s="56">
        <f t="shared" si="34"/>
        <v>0.71000000000000019</v>
      </c>
      <c r="N549" s="56" t="str">
        <f t="shared" si="35"/>
        <v>OK</v>
      </c>
      <c r="O549" s="2"/>
      <c r="P549" s="27"/>
      <c r="Q549" s="2"/>
      <c r="R549" s="2"/>
    </row>
    <row r="550" spans="1:18" x14ac:dyDescent="0.35">
      <c r="A550" s="53">
        <v>297</v>
      </c>
      <c r="B550" s="53" t="s">
        <v>10</v>
      </c>
      <c r="C550" s="53" t="s">
        <v>31</v>
      </c>
      <c r="D550" s="53" t="s">
        <v>19</v>
      </c>
      <c r="E550" s="53" t="s">
        <v>26</v>
      </c>
      <c r="F550" s="54">
        <v>18791.939999999999</v>
      </c>
      <c r="G550" s="53">
        <v>718672</v>
      </c>
      <c r="H550" s="53">
        <v>17718</v>
      </c>
      <c r="I550" s="53">
        <v>1891</v>
      </c>
      <c r="J550" s="54">
        <v>32134.217400000001</v>
      </c>
      <c r="K550" s="55">
        <f t="shared" si="32"/>
        <v>0.71000000000000019</v>
      </c>
      <c r="L550" s="56" t="str">
        <f t="shared" si="33"/>
        <v/>
      </c>
      <c r="M550" s="56">
        <f t="shared" si="34"/>
        <v>0.71000000000000019</v>
      </c>
      <c r="N550" s="56" t="str">
        <f t="shared" si="35"/>
        <v>OK</v>
      </c>
      <c r="O550" s="2"/>
      <c r="P550" s="27"/>
      <c r="Q550" s="2"/>
      <c r="R550" s="2"/>
    </row>
    <row r="551" spans="1:18" x14ac:dyDescent="0.35">
      <c r="A551" s="57">
        <v>672</v>
      </c>
      <c r="B551" s="57" t="s">
        <v>10</v>
      </c>
      <c r="C551" s="57" t="s">
        <v>31</v>
      </c>
      <c r="D551" s="57" t="s">
        <v>20</v>
      </c>
      <c r="E551" s="57" t="s">
        <v>26</v>
      </c>
      <c r="F551" s="58">
        <v>2688.6</v>
      </c>
      <c r="G551" s="57">
        <v>166470</v>
      </c>
      <c r="H551" s="57">
        <v>4298</v>
      </c>
      <c r="I551" s="57">
        <v>1687</v>
      </c>
      <c r="J551" s="58">
        <v>4597.5060000000003</v>
      </c>
      <c r="K551" s="55">
        <f t="shared" si="32"/>
        <v>0.71000000000000019</v>
      </c>
      <c r="L551" s="56" t="str">
        <f t="shared" si="33"/>
        <v/>
      </c>
      <c r="M551" s="56">
        <f t="shared" si="34"/>
        <v>0.71000000000000019</v>
      </c>
      <c r="N551" s="56" t="str">
        <f t="shared" si="35"/>
        <v>OK</v>
      </c>
      <c r="O551" s="2"/>
      <c r="P551" s="27"/>
      <c r="Q551" s="2"/>
      <c r="R551" s="2"/>
    </row>
    <row r="552" spans="1:18" x14ac:dyDescent="0.35">
      <c r="A552" s="57">
        <v>104</v>
      </c>
      <c r="B552" s="57" t="s">
        <v>12</v>
      </c>
      <c r="C552" s="57" t="s">
        <v>32</v>
      </c>
      <c r="D552" s="57" t="s">
        <v>20</v>
      </c>
      <c r="E552" s="57" t="s">
        <v>27</v>
      </c>
      <c r="F552" s="58">
        <v>19883.419999999998</v>
      </c>
      <c r="G552" s="57">
        <v>59812</v>
      </c>
      <c r="H552" s="57">
        <v>17475</v>
      </c>
      <c r="I552" s="57">
        <v>1075</v>
      </c>
      <c r="J552" s="58">
        <v>34000.648200000003</v>
      </c>
      <c r="K552" s="55">
        <f t="shared" si="32"/>
        <v>0.7100000000000003</v>
      </c>
      <c r="L552" s="56">
        <f t="shared" si="33"/>
        <v>0.7100000000000003</v>
      </c>
      <c r="M552" s="56" t="str">
        <f t="shared" si="34"/>
        <v/>
      </c>
      <c r="N552" s="56" t="str">
        <f t="shared" si="35"/>
        <v>OK</v>
      </c>
      <c r="O552" s="2"/>
      <c r="P552" s="27"/>
      <c r="Q552" s="2"/>
      <c r="R552" s="2"/>
    </row>
    <row r="553" spans="1:18" x14ac:dyDescent="0.35">
      <c r="A553" s="57">
        <v>470</v>
      </c>
      <c r="B553" s="57" t="s">
        <v>12</v>
      </c>
      <c r="C553" s="57" t="s">
        <v>32</v>
      </c>
      <c r="D553" s="57" t="s">
        <v>21</v>
      </c>
      <c r="E553" s="57" t="s">
        <v>28</v>
      </c>
      <c r="F553" s="58">
        <v>44682.52</v>
      </c>
      <c r="G553" s="57">
        <v>950051</v>
      </c>
      <c r="H553" s="57">
        <v>19347</v>
      </c>
      <c r="I553" s="57">
        <v>1824</v>
      </c>
      <c r="J553" s="58">
        <v>76407.109200000006</v>
      </c>
      <c r="K553" s="55">
        <f t="shared" si="32"/>
        <v>0.7100000000000003</v>
      </c>
      <c r="L553" s="56">
        <f t="shared" si="33"/>
        <v>0.7100000000000003</v>
      </c>
      <c r="M553" s="56" t="str">
        <f t="shared" si="34"/>
        <v/>
      </c>
      <c r="N553" s="56" t="str">
        <f t="shared" si="35"/>
        <v>OK</v>
      </c>
      <c r="O553" s="2"/>
      <c r="P553" s="27"/>
      <c r="Q553" s="2"/>
      <c r="R553" s="2"/>
    </row>
    <row r="554" spans="1:18" x14ac:dyDescent="0.35">
      <c r="A554" s="57">
        <v>900</v>
      </c>
      <c r="B554" s="57" t="s">
        <v>9</v>
      </c>
      <c r="C554" s="57" t="s">
        <v>31</v>
      </c>
      <c r="D554" s="57" t="s">
        <v>17</v>
      </c>
      <c r="E554" s="57" t="s">
        <v>24</v>
      </c>
      <c r="F554" s="58">
        <v>17748.38</v>
      </c>
      <c r="G554" s="57">
        <v>61717</v>
      </c>
      <c r="H554" s="57">
        <v>14309</v>
      </c>
      <c r="I554" s="57">
        <v>294</v>
      </c>
      <c r="J554" s="58">
        <v>30527.213599999999</v>
      </c>
      <c r="K554" s="55">
        <f t="shared" si="32"/>
        <v>0.71999999999999986</v>
      </c>
      <c r="L554" s="56" t="str">
        <f t="shared" si="33"/>
        <v/>
      </c>
      <c r="M554" s="56">
        <f t="shared" si="34"/>
        <v>0.71999999999999986</v>
      </c>
      <c r="N554" s="56" t="str">
        <f t="shared" si="35"/>
        <v>OK</v>
      </c>
      <c r="O554" s="2"/>
      <c r="P554" s="27"/>
      <c r="Q554" s="2"/>
      <c r="R554" s="2"/>
    </row>
    <row r="555" spans="1:18" x14ac:dyDescent="0.35">
      <c r="A555" s="57">
        <v>222</v>
      </c>
      <c r="B555" s="57" t="s">
        <v>9</v>
      </c>
      <c r="C555" s="57" t="s">
        <v>31</v>
      </c>
      <c r="D555" s="57" t="s">
        <v>18</v>
      </c>
      <c r="E555" s="57" t="s">
        <v>28</v>
      </c>
      <c r="F555" s="58">
        <v>17574.89</v>
      </c>
      <c r="G555" s="57">
        <v>146213</v>
      </c>
      <c r="H555" s="57">
        <v>13170</v>
      </c>
      <c r="I555" s="57">
        <v>1529</v>
      </c>
      <c r="J555" s="58">
        <v>30228.810799999999</v>
      </c>
      <c r="K555" s="55">
        <f t="shared" si="32"/>
        <v>0.72</v>
      </c>
      <c r="L555" s="56" t="str">
        <f t="shared" si="33"/>
        <v/>
      </c>
      <c r="M555" s="56">
        <f t="shared" si="34"/>
        <v>0.72</v>
      </c>
      <c r="N555" s="56" t="str">
        <f t="shared" si="35"/>
        <v>OK</v>
      </c>
      <c r="O555" s="2"/>
      <c r="P555" s="27"/>
      <c r="Q555" s="2"/>
      <c r="R555" s="2"/>
    </row>
    <row r="556" spans="1:18" x14ac:dyDescent="0.35">
      <c r="A556" s="53">
        <v>535</v>
      </c>
      <c r="B556" s="53" t="s">
        <v>9</v>
      </c>
      <c r="C556" s="53" t="s">
        <v>31</v>
      </c>
      <c r="D556" s="53" t="s">
        <v>18</v>
      </c>
      <c r="E556" s="53" t="s">
        <v>24</v>
      </c>
      <c r="F556" s="54">
        <v>21221.09</v>
      </c>
      <c r="G556" s="53">
        <v>285049</v>
      </c>
      <c r="H556" s="53">
        <v>13048</v>
      </c>
      <c r="I556" s="53">
        <v>1008</v>
      </c>
      <c r="J556" s="54">
        <v>36500.274799999999</v>
      </c>
      <c r="K556" s="55">
        <f t="shared" si="32"/>
        <v>0.72</v>
      </c>
      <c r="L556" s="56" t="str">
        <f t="shared" si="33"/>
        <v/>
      </c>
      <c r="M556" s="56">
        <f t="shared" si="34"/>
        <v>0.72</v>
      </c>
      <c r="N556" s="56" t="str">
        <f t="shared" si="35"/>
        <v>OK</v>
      </c>
      <c r="O556" s="2"/>
      <c r="P556" s="27"/>
      <c r="Q556" s="2"/>
      <c r="R556" s="2"/>
    </row>
    <row r="557" spans="1:18" x14ac:dyDescent="0.35">
      <c r="A557" s="53">
        <v>967</v>
      </c>
      <c r="B557" s="53" t="s">
        <v>15</v>
      </c>
      <c r="C557" s="53" t="s">
        <v>32</v>
      </c>
      <c r="D557" s="53" t="s">
        <v>17</v>
      </c>
      <c r="E557" s="53" t="s">
        <v>28</v>
      </c>
      <c r="F557" s="54">
        <v>28482.85</v>
      </c>
      <c r="G557" s="53">
        <v>111158</v>
      </c>
      <c r="H557" s="53">
        <v>11000</v>
      </c>
      <c r="I557" s="53">
        <v>1517</v>
      </c>
      <c r="J557" s="54">
        <v>48990.502</v>
      </c>
      <c r="K557" s="55">
        <f t="shared" si="32"/>
        <v>0.72000000000000008</v>
      </c>
      <c r="L557" s="56">
        <f t="shared" si="33"/>
        <v>0.72000000000000008</v>
      </c>
      <c r="M557" s="56" t="str">
        <f t="shared" si="34"/>
        <v/>
      </c>
      <c r="N557" s="56" t="str">
        <f t="shared" si="35"/>
        <v>OK</v>
      </c>
      <c r="O557" s="2"/>
      <c r="P557" s="27"/>
      <c r="Q557" s="2"/>
      <c r="R557" s="2"/>
    </row>
    <row r="558" spans="1:18" x14ac:dyDescent="0.35">
      <c r="A558" s="53">
        <v>449</v>
      </c>
      <c r="B558" s="53" t="s">
        <v>8</v>
      </c>
      <c r="C558" s="53" t="s">
        <v>31</v>
      </c>
      <c r="D558" s="53" t="s">
        <v>18</v>
      </c>
      <c r="E558" s="53" t="s">
        <v>24</v>
      </c>
      <c r="F558" s="54">
        <v>45623.15</v>
      </c>
      <c r="G558" s="53">
        <v>300374</v>
      </c>
      <c r="H558" s="53">
        <v>14619</v>
      </c>
      <c r="I558" s="53">
        <v>1461</v>
      </c>
      <c r="J558" s="54">
        <v>78928.049499999994</v>
      </c>
      <c r="K558" s="55">
        <f t="shared" si="32"/>
        <v>0.72999999999999976</v>
      </c>
      <c r="L558" s="56" t="str">
        <f t="shared" si="33"/>
        <v/>
      </c>
      <c r="M558" s="56">
        <f t="shared" si="34"/>
        <v>0.72999999999999976</v>
      </c>
      <c r="N558" s="56" t="str">
        <f t="shared" si="35"/>
        <v>OK</v>
      </c>
      <c r="O558" s="2"/>
      <c r="P558" s="27"/>
      <c r="Q558" s="2"/>
      <c r="R558" s="2"/>
    </row>
    <row r="559" spans="1:18" x14ac:dyDescent="0.35">
      <c r="A559" s="57">
        <v>640</v>
      </c>
      <c r="B559" s="57" t="s">
        <v>13</v>
      </c>
      <c r="C559" s="57" t="s">
        <v>32</v>
      </c>
      <c r="D559" s="57" t="s">
        <v>21</v>
      </c>
      <c r="E559" s="57" t="s">
        <v>29</v>
      </c>
      <c r="F559" s="58">
        <v>34191.980000000003</v>
      </c>
      <c r="G559" s="57">
        <v>73610</v>
      </c>
      <c r="H559" s="57">
        <v>2502</v>
      </c>
      <c r="I559" s="57">
        <v>118</v>
      </c>
      <c r="J559" s="58">
        <v>59152.125399999997</v>
      </c>
      <c r="K559" s="55">
        <f t="shared" si="32"/>
        <v>0.72999999999999976</v>
      </c>
      <c r="L559" s="56">
        <f t="shared" si="33"/>
        <v>0.72999999999999976</v>
      </c>
      <c r="M559" s="56" t="str">
        <f t="shared" si="34"/>
        <v/>
      </c>
      <c r="N559" s="56" t="str">
        <f t="shared" si="35"/>
        <v>OK</v>
      </c>
      <c r="O559" s="2"/>
      <c r="P559" s="27"/>
      <c r="Q559" s="2"/>
      <c r="R559" s="2"/>
    </row>
    <row r="560" spans="1:18" x14ac:dyDescent="0.35">
      <c r="A560" s="53">
        <v>823</v>
      </c>
      <c r="B560" s="53" t="s">
        <v>10</v>
      </c>
      <c r="C560" s="53" t="s">
        <v>31</v>
      </c>
      <c r="D560" s="53" t="s">
        <v>20</v>
      </c>
      <c r="E560" s="53" t="s">
        <v>28</v>
      </c>
      <c r="F560" s="54">
        <v>7816.68</v>
      </c>
      <c r="G560" s="53">
        <v>206846</v>
      </c>
      <c r="H560" s="53">
        <v>16528</v>
      </c>
      <c r="I560" s="53">
        <v>757</v>
      </c>
      <c r="J560" s="54">
        <v>13522.856400000001</v>
      </c>
      <c r="K560" s="55">
        <f t="shared" si="32"/>
        <v>0.73</v>
      </c>
      <c r="L560" s="56" t="str">
        <f t="shared" si="33"/>
        <v/>
      </c>
      <c r="M560" s="56">
        <f t="shared" si="34"/>
        <v>0.73</v>
      </c>
      <c r="N560" s="56" t="str">
        <f t="shared" si="35"/>
        <v>OK</v>
      </c>
      <c r="O560" s="2"/>
      <c r="P560" s="27"/>
      <c r="Q560" s="2"/>
      <c r="R560" s="2"/>
    </row>
    <row r="561" spans="1:18" x14ac:dyDescent="0.35">
      <c r="A561" s="57">
        <v>220</v>
      </c>
      <c r="B561" s="57" t="s">
        <v>8</v>
      </c>
      <c r="C561" s="57" t="s">
        <v>31</v>
      </c>
      <c r="D561" s="57" t="s">
        <v>22</v>
      </c>
      <c r="E561" s="57" t="s">
        <v>28</v>
      </c>
      <c r="F561" s="58">
        <v>36532.629999999997</v>
      </c>
      <c r="G561" s="57">
        <v>136479</v>
      </c>
      <c r="H561" s="57">
        <v>13293</v>
      </c>
      <c r="I561" s="57">
        <v>1474</v>
      </c>
      <c r="J561" s="58">
        <v>63201.4499</v>
      </c>
      <c r="K561" s="55">
        <f t="shared" si="32"/>
        <v>0.73000000000000009</v>
      </c>
      <c r="L561" s="56" t="str">
        <f t="shared" si="33"/>
        <v/>
      </c>
      <c r="M561" s="56">
        <f t="shared" si="34"/>
        <v>0.73000000000000009</v>
      </c>
      <c r="N561" s="56" t="str">
        <f t="shared" si="35"/>
        <v>OK</v>
      </c>
      <c r="O561" s="2"/>
      <c r="P561" s="27"/>
      <c r="Q561" s="2"/>
      <c r="R561" s="2"/>
    </row>
    <row r="562" spans="1:18" x14ac:dyDescent="0.35">
      <c r="A562" s="57">
        <v>272</v>
      </c>
      <c r="B562" s="57" t="s">
        <v>13</v>
      </c>
      <c r="C562" s="57" t="s">
        <v>32</v>
      </c>
      <c r="D562" s="57" t="s">
        <v>19</v>
      </c>
      <c r="E562" s="57" t="s">
        <v>24</v>
      </c>
      <c r="F562" s="58">
        <v>5613.44</v>
      </c>
      <c r="G562" s="57">
        <v>547977</v>
      </c>
      <c r="H562" s="57">
        <v>7757</v>
      </c>
      <c r="I562" s="57">
        <v>1584</v>
      </c>
      <c r="J562" s="58">
        <v>9711.2512000000006</v>
      </c>
      <c r="K562" s="55">
        <f t="shared" si="32"/>
        <v>0.7300000000000002</v>
      </c>
      <c r="L562" s="56">
        <f t="shared" si="33"/>
        <v>0.7300000000000002</v>
      </c>
      <c r="M562" s="56" t="str">
        <f t="shared" si="34"/>
        <v/>
      </c>
      <c r="N562" s="56" t="str">
        <f t="shared" si="35"/>
        <v>OK</v>
      </c>
      <c r="O562" s="2"/>
      <c r="P562" s="27"/>
      <c r="Q562" s="2"/>
      <c r="R562" s="2"/>
    </row>
    <row r="563" spans="1:18" x14ac:dyDescent="0.35">
      <c r="A563" s="53">
        <v>419</v>
      </c>
      <c r="B563" s="53" t="s">
        <v>13</v>
      </c>
      <c r="C563" s="53" t="s">
        <v>32</v>
      </c>
      <c r="D563" s="53" t="s">
        <v>17</v>
      </c>
      <c r="E563" s="53" t="s">
        <v>24</v>
      </c>
      <c r="F563" s="54">
        <v>12091.22</v>
      </c>
      <c r="G563" s="53">
        <v>557219</v>
      </c>
      <c r="H563" s="53">
        <v>19792</v>
      </c>
      <c r="I563" s="53">
        <v>913</v>
      </c>
      <c r="J563" s="54">
        <v>20917.810600000001</v>
      </c>
      <c r="K563" s="55">
        <f t="shared" si="32"/>
        <v>0.7300000000000002</v>
      </c>
      <c r="L563" s="56">
        <f t="shared" si="33"/>
        <v>0.7300000000000002</v>
      </c>
      <c r="M563" s="56" t="str">
        <f t="shared" si="34"/>
        <v/>
      </c>
      <c r="N563" s="56" t="str">
        <f t="shared" si="35"/>
        <v>OK</v>
      </c>
      <c r="O563" s="2"/>
      <c r="P563" s="27"/>
      <c r="Q563" s="2"/>
      <c r="R563" s="2"/>
    </row>
    <row r="564" spans="1:18" x14ac:dyDescent="0.35">
      <c r="A564" s="53">
        <v>261</v>
      </c>
      <c r="B564" s="53" t="s">
        <v>11</v>
      </c>
      <c r="C564" s="53" t="s">
        <v>32</v>
      </c>
      <c r="D564" s="53" t="s">
        <v>22</v>
      </c>
      <c r="E564" s="53" t="s">
        <v>26</v>
      </c>
      <c r="F564" s="54">
        <v>37951.279999999999</v>
      </c>
      <c r="G564" s="53">
        <v>498535</v>
      </c>
      <c r="H564" s="53">
        <v>1389</v>
      </c>
      <c r="I564" s="53">
        <v>517</v>
      </c>
      <c r="J564" s="54">
        <v>66035.227199999994</v>
      </c>
      <c r="K564" s="55">
        <f t="shared" si="32"/>
        <v>0.73999999999999988</v>
      </c>
      <c r="L564" s="56">
        <f t="shared" si="33"/>
        <v>0.73999999999999988</v>
      </c>
      <c r="M564" s="56" t="str">
        <f t="shared" si="34"/>
        <v/>
      </c>
      <c r="N564" s="56" t="str">
        <f t="shared" si="35"/>
        <v>OK</v>
      </c>
      <c r="O564" s="2"/>
      <c r="P564" s="27"/>
      <c r="Q564" s="2"/>
      <c r="R564" s="2"/>
    </row>
    <row r="565" spans="1:18" x14ac:dyDescent="0.35">
      <c r="A565" s="57">
        <v>194</v>
      </c>
      <c r="B565" s="57" t="s">
        <v>8</v>
      </c>
      <c r="C565" s="57" t="s">
        <v>31</v>
      </c>
      <c r="D565" s="57" t="s">
        <v>19</v>
      </c>
      <c r="E565" s="57" t="s">
        <v>24</v>
      </c>
      <c r="F565" s="58">
        <v>48766.9</v>
      </c>
      <c r="G565" s="57">
        <v>121435</v>
      </c>
      <c r="H565" s="57">
        <v>3427</v>
      </c>
      <c r="I565" s="57">
        <v>88</v>
      </c>
      <c r="J565" s="58">
        <v>84854.406000000003</v>
      </c>
      <c r="K565" s="55">
        <f t="shared" si="32"/>
        <v>0.74</v>
      </c>
      <c r="L565" s="56" t="str">
        <f t="shared" si="33"/>
        <v/>
      </c>
      <c r="M565" s="56">
        <f t="shared" si="34"/>
        <v>0.74</v>
      </c>
      <c r="N565" s="56" t="str">
        <f t="shared" si="35"/>
        <v>OK</v>
      </c>
      <c r="O565" s="2"/>
      <c r="P565" s="27"/>
      <c r="Q565" s="2"/>
      <c r="R565" s="2"/>
    </row>
    <row r="566" spans="1:18" x14ac:dyDescent="0.35">
      <c r="A566" s="53">
        <v>727</v>
      </c>
      <c r="B566" s="53" t="s">
        <v>9</v>
      </c>
      <c r="C566" s="53" t="s">
        <v>31</v>
      </c>
      <c r="D566" s="53" t="s">
        <v>18</v>
      </c>
      <c r="E566" s="53" t="s">
        <v>27</v>
      </c>
      <c r="F566" s="54">
        <v>4382.45</v>
      </c>
      <c r="G566" s="53">
        <v>134116</v>
      </c>
      <c r="H566" s="53">
        <v>14548</v>
      </c>
      <c r="I566" s="53">
        <v>1667</v>
      </c>
      <c r="J566" s="54">
        <v>7625.4629999999997</v>
      </c>
      <c r="K566" s="55">
        <f t="shared" si="32"/>
        <v>0.74</v>
      </c>
      <c r="L566" s="56" t="str">
        <f t="shared" si="33"/>
        <v/>
      </c>
      <c r="M566" s="56">
        <f t="shared" si="34"/>
        <v>0.74</v>
      </c>
      <c r="N566" s="56" t="str">
        <f t="shared" si="35"/>
        <v>OK</v>
      </c>
      <c r="O566" s="2"/>
      <c r="P566" s="27"/>
      <c r="Q566" s="2"/>
      <c r="R566" s="2"/>
    </row>
    <row r="567" spans="1:18" x14ac:dyDescent="0.35">
      <c r="A567" s="57">
        <v>834</v>
      </c>
      <c r="B567" s="57" t="s">
        <v>12</v>
      </c>
      <c r="C567" s="57" t="s">
        <v>32</v>
      </c>
      <c r="D567" s="57" t="s">
        <v>21</v>
      </c>
      <c r="E567" s="57" t="s">
        <v>29</v>
      </c>
      <c r="F567" s="58">
        <v>49973.85</v>
      </c>
      <c r="G567" s="57">
        <v>779305</v>
      </c>
      <c r="H567" s="57">
        <v>13961</v>
      </c>
      <c r="I567" s="57">
        <v>1408</v>
      </c>
      <c r="J567" s="58">
        <v>86954.498999999996</v>
      </c>
      <c r="K567" s="55">
        <f t="shared" si="32"/>
        <v>0.74</v>
      </c>
      <c r="L567" s="56">
        <f t="shared" si="33"/>
        <v>0.74</v>
      </c>
      <c r="M567" s="56" t="str">
        <f t="shared" si="34"/>
        <v/>
      </c>
      <c r="N567" s="56" t="str">
        <f t="shared" si="35"/>
        <v>OK</v>
      </c>
      <c r="O567" s="2"/>
      <c r="P567" s="27"/>
      <c r="Q567" s="2"/>
      <c r="R567" s="2"/>
    </row>
    <row r="568" spans="1:18" x14ac:dyDescent="0.35">
      <c r="A568" s="57">
        <v>50</v>
      </c>
      <c r="B568" s="57" t="s">
        <v>10</v>
      </c>
      <c r="C568" s="57" t="s">
        <v>31</v>
      </c>
      <c r="D568" s="57" t="s">
        <v>17</v>
      </c>
      <c r="E568" s="57" t="s">
        <v>25</v>
      </c>
      <c r="F568" s="58">
        <v>28332.85</v>
      </c>
      <c r="G568" s="57">
        <v>102764</v>
      </c>
      <c r="H568" s="57">
        <v>15999</v>
      </c>
      <c r="I568" s="57">
        <v>140</v>
      </c>
      <c r="J568" s="58">
        <v>49299.159</v>
      </c>
      <c r="K568" s="55">
        <f t="shared" si="32"/>
        <v>0.7400000000000001</v>
      </c>
      <c r="L568" s="56" t="str">
        <f t="shared" si="33"/>
        <v/>
      </c>
      <c r="M568" s="56">
        <f t="shared" si="34"/>
        <v>0.7400000000000001</v>
      </c>
      <c r="N568" s="56" t="str">
        <f t="shared" si="35"/>
        <v>OK</v>
      </c>
      <c r="O568" s="2"/>
      <c r="P568" s="27"/>
      <c r="Q568" s="2"/>
      <c r="R568" s="2"/>
    </row>
    <row r="569" spans="1:18" x14ac:dyDescent="0.35">
      <c r="A569" s="57">
        <v>326</v>
      </c>
      <c r="B569" s="57" t="s">
        <v>10</v>
      </c>
      <c r="C569" s="57" t="s">
        <v>31</v>
      </c>
      <c r="D569" s="57" t="s">
        <v>18</v>
      </c>
      <c r="E569" s="57" t="s">
        <v>24</v>
      </c>
      <c r="F569" s="58">
        <v>11277.89</v>
      </c>
      <c r="G569" s="57">
        <v>197256</v>
      </c>
      <c r="H569" s="57">
        <v>1545</v>
      </c>
      <c r="I569" s="57">
        <v>853</v>
      </c>
      <c r="J569" s="58">
        <v>19623.528600000001</v>
      </c>
      <c r="K569" s="55">
        <f t="shared" si="32"/>
        <v>0.74000000000000021</v>
      </c>
      <c r="L569" s="56" t="str">
        <f t="shared" si="33"/>
        <v/>
      </c>
      <c r="M569" s="56">
        <f t="shared" si="34"/>
        <v>0.74000000000000021</v>
      </c>
      <c r="N569" s="56" t="str">
        <f t="shared" si="35"/>
        <v>OK</v>
      </c>
      <c r="O569" s="2"/>
      <c r="P569" s="27"/>
      <c r="Q569" s="2"/>
      <c r="R569" s="2"/>
    </row>
    <row r="570" spans="1:18" x14ac:dyDescent="0.35">
      <c r="A570" s="57">
        <v>188</v>
      </c>
      <c r="B570" s="57" t="s">
        <v>8</v>
      </c>
      <c r="C570" s="57" t="s">
        <v>31</v>
      </c>
      <c r="D570" s="57" t="s">
        <v>21</v>
      </c>
      <c r="E570" s="57" t="s">
        <v>26</v>
      </c>
      <c r="F570" s="58">
        <v>14854.54</v>
      </c>
      <c r="G570" s="57">
        <v>723087</v>
      </c>
      <c r="H570" s="57">
        <v>13555</v>
      </c>
      <c r="I570" s="57">
        <v>729</v>
      </c>
      <c r="J570" s="58">
        <v>26143.990399999999</v>
      </c>
      <c r="K570" s="55">
        <f t="shared" si="32"/>
        <v>0.75999999999999979</v>
      </c>
      <c r="L570" s="56" t="str">
        <f t="shared" si="33"/>
        <v/>
      </c>
      <c r="M570" s="56">
        <f t="shared" si="34"/>
        <v>0.75999999999999979</v>
      </c>
      <c r="N570" s="56" t="str">
        <f t="shared" si="35"/>
        <v>OK</v>
      </c>
      <c r="O570" s="2"/>
      <c r="P570" s="27"/>
      <c r="Q570" s="2"/>
      <c r="R570" s="2"/>
    </row>
    <row r="571" spans="1:18" x14ac:dyDescent="0.35">
      <c r="A571" s="57">
        <v>86</v>
      </c>
      <c r="B571" s="57" t="s">
        <v>9</v>
      </c>
      <c r="C571" s="57" t="s">
        <v>31</v>
      </c>
      <c r="D571" s="57" t="s">
        <v>19</v>
      </c>
      <c r="E571" s="57" t="s">
        <v>29</v>
      </c>
      <c r="F571" s="58">
        <v>40940.800000000003</v>
      </c>
      <c r="G571" s="57">
        <v>281400</v>
      </c>
      <c r="H571" s="57">
        <v>12738</v>
      </c>
      <c r="I571" s="57">
        <v>636</v>
      </c>
      <c r="J571" s="58">
        <v>72055.808000000005</v>
      </c>
      <c r="K571" s="55">
        <f t="shared" si="32"/>
        <v>0.76</v>
      </c>
      <c r="L571" s="56" t="str">
        <f t="shared" si="33"/>
        <v/>
      </c>
      <c r="M571" s="56">
        <f t="shared" si="34"/>
        <v>0.76</v>
      </c>
      <c r="N571" s="56" t="str">
        <f t="shared" si="35"/>
        <v>OK</v>
      </c>
      <c r="O571" s="2"/>
      <c r="P571" s="27"/>
      <c r="Q571" s="2"/>
      <c r="R571" s="2"/>
    </row>
    <row r="572" spans="1:18" x14ac:dyDescent="0.35">
      <c r="A572" s="53">
        <v>435</v>
      </c>
      <c r="B572" s="53" t="s">
        <v>12</v>
      </c>
      <c r="C572" s="53" t="s">
        <v>32</v>
      </c>
      <c r="D572" s="53" t="s">
        <v>19</v>
      </c>
      <c r="E572" s="53" t="s">
        <v>28</v>
      </c>
      <c r="F572" s="54">
        <v>29094.12</v>
      </c>
      <c r="G572" s="53">
        <v>771401</v>
      </c>
      <c r="H572" s="53">
        <v>13333</v>
      </c>
      <c r="I572" s="53">
        <v>18</v>
      </c>
      <c r="J572" s="54">
        <v>51205.6512</v>
      </c>
      <c r="K572" s="55">
        <f t="shared" si="32"/>
        <v>0.76000000000000012</v>
      </c>
      <c r="L572" s="56">
        <f t="shared" si="33"/>
        <v>0.76000000000000012</v>
      </c>
      <c r="M572" s="56" t="str">
        <f t="shared" si="34"/>
        <v/>
      </c>
      <c r="N572" s="56" t="str">
        <f t="shared" si="35"/>
        <v>OK</v>
      </c>
      <c r="O572" s="2"/>
      <c r="P572" s="27"/>
      <c r="Q572" s="2"/>
      <c r="R572" s="2"/>
    </row>
    <row r="573" spans="1:18" x14ac:dyDescent="0.35">
      <c r="A573" s="53">
        <v>199</v>
      </c>
      <c r="B573" s="53" t="s">
        <v>15</v>
      </c>
      <c r="C573" s="53" t="s">
        <v>32</v>
      </c>
      <c r="D573" s="53" t="s">
        <v>22</v>
      </c>
      <c r="E573" s="53" t="s">
        <v>25</v>
      </c>
      <c r="F573" s="54">
        <v>8662.7099999999991</v>
      </c>
      <c r="G573" s="53">
        <v>856574</v>
      </c>
      <c r="H573" s="53">
        <v>14162</v>
      </c>
      <c r="I573" s="53">
        <v>627</v>
      </c>
      <c r="J573" s="54">
        <v>15246.3696</v>
      </c>
      <c r="K573" s="55">
        <f t="shared" si="32"/>
        <v>0.76000000000000023</v>
      </c>
      <c r="L573" s="56">
        <f t="shared" si="33"/>
        <v>0.76000000000000023</v>
      </c>
      <c r="M573" s="56" t="str">
        <f t="shared" si="34"/>
        <v/>
      </c>
      <c r="N573" s="56" t="str">
        <f t="shared" si="35"/>
        <v>OK</v>
      </c>
      <c r="O573" s="2"/>
      <c r="P573" s="27"/>
      <c r="Q573" s="2"/>
      <c r="R573" s="2"/>
    </row>
    <row r="574" spans="1:18" x14ac:dyDescent="0.35">
      <c r="A574" s="53">
        <v>625</v>
      </c>
      <c r="B574" s="53" t="s">
        <v>15</v>
      </c>
      <c r="C574" s="53" t="s">
        <v>32</v>
      </c>
      <c r="D574" s="53" t="s">
        <v>20</v>
      </c>
      <c r="E574" s="53" t="s">
        <v>24</v>
      </c>
      <c r="F574" s="54">
        <v>8427.6299999999992</v>
      </c>
      <c r="G574" s="53">
        <v>485430</v>
      </c>
      <c r="H574" s="53">
        <v>12406</v>
      </c>
      <c r="I574" s="53">
        <v>1121</v>
      </c>
      <c r="J574" s="54">
        <v>14832.6288</v>
      </c>
      <c r="K574" s="55">
        <f t="shared" si="32"/>
        <v>0.76000000000000023</v>
      </c>
      <c r="L574" s="56">
        <f t="shared" si="33"/>
        <v>0.76000000000000023</v>
      </c>
      <c r="M574" s="56" t="str">
        <f t="shared" si="34"/>
        <v/>
      </c>
      <c r="N574" s="56" t="str">
        <f t="shared" si="35"/>
        <v>OK</v>
      </c>
      <c r="O574" s="2"/>
      <c r="P574" s="27"/>
      <c r="Q574" s="2"/>
      <c r="R574" s="2"/>
    </row>
    <row r="575" spans="1:18" x14ac:dyDescent="0.35">
      <c r="A575" s="57">
        <v>628</v>
      </c>
      <c r="B575" s="57" t="s">
        <v>10</v>
      </c>
      <c r="C575" s="57" t="s">
        <v>31</v>
      </c>
      <c r="D575" s="57" t="s">
        <v>21</v>
      </c>
      <c r="E575" s="57" t="s">
        <v>24</v>
      </c>
      <c r="F575" s="58">
        <v>38903.410000000003</v>
      </c>
      <c r="G575" s="57">
        <v>184875</v>
      </c>
      <c r="H575" s="57">
        <v>18950</v>
      </c>
      <c r="I575" s="57">
        <v>689</v>
      </c>
      <c r="J575" s="58">
        <v>68859.035699999993</v>
      </c>
      <c r="K575" s="55">
        <f t="shared" si="32"/>
        <v>0.76999999999999968</v>
      </c>
      <c r="L575" s="56" t="str">
        <f t="shared" si="33"/>
        <v/>
      </c>
      <c r="M575" s="56">
        <f t="shared" si="34"/>
        <v>0.76999999999999968</v>
      </c>
      <c r="N575" s="56" t="str">
        <f t="shared" si="35"/>
        <v>OK</v>
      </c>
      <c r="O575" s="2"/>
      <c r="P575" s="27"/>
      <c r="Q575" s="2"/>
      <c r="R575" s="2"/>
    </row>
    <row r="576" spans="1:18" x14ac:dyDescent="0.35">
      <c r="A576" s="57">
        <v>230</v>
      </c>
      <c r="B576" s="57" t="s">
        <v>15</v>
      </c>
      <c r="C576" s="57" t="s">
        <v>32</v>
      </c>
      <c r="D576" s="57" t="s">
        <v>18</v>
      </c>
      <c r="E576" s="57" t="s">
        <v>25</v>
      </c>
      <c r="F576" s="58">
        <v>5353.17</v>
      </c>
      <c r="G576" s="57">
        <v>282158</v>
      </c>
      <c r="H576" s="57">
        <v>13504</v>
      </c>
      <c r="I576" s="57">
        <v>958</v>
      </c>
      <c r="J576" s="58">
        <v>9475.1108999999997</v>
      </c>
      <c r="K576" s="55">
        <f t="shared" si="32"/>
        <v>0.76999999999999991</v>
      </c>
      <c r="L576" s="56">
        <f t="shared" si="33"/>
        <v>0.76999999999999991</v>
      </c>
      <c r="M576" s="56" t="str">
        <f t="shared" si="34"/>
        <v/>
      </c>
      <c r="N576" s="56" t="str">
        <f t="shared" si="35"/>
        <v>OK</v>
      </c>
      <c r="O576" s="2"/>
      <c r="P576" s="27"/>
      <c r="Q576" s="2"/>
      <c r="R576" s="2"/>
    </row>
    <row r="577" spans="1:18" x14ac:dyDescent="0.35">
      <c r="A577" s="53">
        <v>881</v>
      </c>
      <c r="B577" s="53" t="s">
        <v>15</v>
      </c>
      <c r="C577" s="53" t="s">
        <v>32</v>
      </c>
      <c r="D577" s="53" t="s">
        <v>17</v>
      </c>
      <c r="E577" s="53" t="s">
        <v>26</v>
      </c>
      <c r="F577" s="54">
        <v>45397.23</v>
      </c>
      <c r="G577" s="53">
        <v>283820</v>
      </c>
      <c r="H577" s="53">
        <v>7235</v>
      </c>
      <c r="I577" s="53">
        <v>1625</v>
      </c>
      <c r="J577" s="54">
        <v>80353.097099999999</v>
      </c>
      <c r="K577" s="55">
        <f t="shared" si="32"/>
        <v>0.76999999999999991</v>
      </c>
      <c r="L577" s="56">
        <f t="shared" si="33"/>
        <v>0.76999999999999991</v>
      </c>
      <c r="M577" s="56" t="str">
        <f t="shared" si="34"/>
        <v/>
      </c>
      <c r="N577" s="56" t="str">
        <f t="shared" si="35"/>
        <v>OK</v>
      </c>
      <c r="O577" s="2"/>
      <c r="P577" s="27"/>
      <c r="Q577" s="2"/>
      <c r="R577" s="2"/>
    </row>
    <row r="578" spans="1:18" x14ac:dyDescent="0.35">
      <c r="A578" s="57">
        <v>938</v>
      </c>
      <c r="B578" s="57" t="s">
        <v>15</v>
      </c>
      <c r="C578" s="57" t="s">
        <v>32</v>
      </c>
      <c r="D578" s="57" t="s">
        <v>17</v>
      </c>
      <c r="E578" s="57" t="s">
        <v>28</v>
      </c>
      <c r="F578" s="58">
        <v>49101.01</v>
      </c>
      <c r="G578" s="57">
        <v>402670</v>
      </c>
      <c r="H578" s="57">
        <v>7552</v>
      </c>
      <c r="I578" s="57">
        <v>1930</v>
      </c>
      <c r="J578" s="58">
        <v>86908.787700000001</v>
      </c>
      <c r="K578" s="55">
        <f t="shared" ref="K578:K641" si="36">(J578-F578)/F578</f>
        <v>0.76999999999999991</v>
      </c>
      <c r="L578" s="56">
        <f t="shared" ref="L578:L641" si="37">IF(C578="Digital",K578,"")</f>
        <v>0.76999999999999991</v>
      </c>
      <c r="M578" s="56" t="str">
        <f t="shared" ref="M578:M641" si="38">IF(C578="Traditional",K578,"")</f>
        <v/>
      </c>
      <c r="N578" s="56" t="str">
        <f t="shared" ref="N578:N641" si="39">IF(H578&gt;G578,"ERROR: Clicks &gt; Impressions",IF(I578&gt;H578,"ERROR: Conversions &gt; Clicks","OK"))</f>
        <v>OK</v>
      </c>
      <c r="O578" s="2"/>
      <c r="P578" s="27"/>
      <c r="Q578" s="2"/>
      <c r="R578" s="2"/>
    </row>
    <row r="579" spans="1:18" x14ac:dyDescent="0.35">
      <c r="A579" s="57">
        <v>46</v>
      </c>
      <c r="B579" s="57" t="s">
        <v>12</v>
      </c>
      <c r="C579" s="57" t="s">
        <v>32</v>
      </c>
      <c r="D579" s="57" t="s">
        <v>22</v>
      </c>
      <c r="E579" s="57" t="s">
        <v>26</v>
      </c>
      <c r="F579" s="58">
        <v>32167.47</v>
      </c>
      <c r="G579" s="57">
        <v>65841</v>
      </c>
      <c r="H579" s="57">
        <v>14395</v>
      </c>
      <c r="I579" s="57">
        <v>38</v>
      </c>
      <c r="J579" s="58">
        <v>56936.421900000001</v>
      </c>
      <c r="K579" s="55">
        <f t="shared" si="36"/>
        <v>0.77</v>
      </c>
      <c r="L579" s="56">
        <f t="shared" si="37"/>
        <v>0.77</v>
      </c>
      <c r="M579" s="56" t="str">
        <f t="shared" si="38"/>
        <v/>
      </c>
      <c r="N579" s="56" t="str">
        <f t="shared" si="39"/>
        <v>OK</v>
      </c>
      <c r="O579" s="2"/>
      <c r="P579" s="27"/>
      <c r="Q579" s="2"/>
      <c r="R579" s="2"/>
    </row>
    <row r="580" spans="1:18" x14ac:dyDescent="0.35">
      <c r="A580" s="53">
        <v>667</v>
      </c>
      <c r="B580" s="53" t="s">
        <v>10</v>
      </c>
      <c r="C580" s="53" t="s">
        <v>31</v>
      </c>
      <c r="D580" s="53" t="s">
        <v>20</v>
      </c>
      <c r="E580" s="53" t="s">
        <v>24</v>
      </c>
      <c r="F580" s="54">
        <v>37547.14</v>
      </c>
      <c r="G580" s="53">
        <v>563781</v>
      </c>
      <c r="H580" s="53">
        <v>3658</v>
      </c>
      <c r="I580" s="53">
        <v>1030</v>
      </c>
      <c r="J580" s="54">
        <v>66458.4378</v>
      </c>
      <c r="K580" s="55">
        <f t="shared" si="36"/>
        <v>0.77</v>
      </c>
      <c r="L580" s="56" t="str">
        <f t="shared" si="37"/>
        <v/>
      </c>
      <c r="M580" s="56">
        <f t="shared" si="38"/>
        <v>0.77</v>
      </c>
      <c r="N580" s="56" t="str">
        <f t="shared" si="39"/>
        <v>OK</v>
      </c>
      <c r="O580" s="2"/>
      <c r="P580" s="27"/>
      <c r="Q580" s="2"/>
      <c r="R580" s="2"/>
    </row>
    <row r="581" spans="1:18" x14ac:dyDescent="0.35">
      <c r="A581" s="57">
        <v>812</v>
      </c>
      <c r="B581" s="57" t="s">
        <v>9</v>
      </c>
      <c r="C581" s="57" t="s">
        <v>31</v>
      </c>
      <c r="D581" s="57" t="s">
        <v>21</v>
      </c>
      <c r="E581" s="57" t="s">
        <v>28</v>
      </c>
      <c r="F581" s="58">
        <v>47206.21</v>
      </c>
      <c r="G581" s="57">
        <v>280784</v>
      </c>
      <c r="H581" s="57">
        <v>3192</v>
      </c>
      <c r="I581" s="57">
        <v>1886</v>
      </c>
      <c r="J581" s="58">
        <v>83554.991699999999</v>
      </c>
      <c r="K581" s="55">
        <f t="shared" si="36"/>
        <v>0.77</v>
      </c>
      <c r="L581" s="56" t="str">
        <f t="shared" si="37"/>
        <v/>
      </c>
      <c r="M581" s="56">
        <f t="shared" si="38"/>
        <v>0.77</v>
      </c>
      <c r="N581" s="56" t="str">
        <f t="shared" si="39"/>
        <v>OK</v>
      </c>
      <c r="O581" s="2"/>
      <c r="P581" s="27"/>
      <c r="Q581" s="2"/>
      <c r="R581" s="2"/>
    </row>
    <row r="582" spans="1:18" x14ac:dyDescent="0.35">
      <c r="A582" s="53">
        <v>817</v>
      </c>
      <c r="B582" s="53" t="s">
        <v>11</v>
      </c>
      <c r="C582" s="53" t="s">
        <v>32</v>
      </c>
      <c r="D582" s="53" t="s">
        <v>18</v>
      </c>
      <c r="E582" s="53" t="s">
        <v>25</v>
      </c>
      <c r="F582" s="54">
        <v>6685.11</v>
      </c>
      <c r="G582" s="53">
        <v>243612</v>
      </c>
      <c r="H582" s="53">
        <v>4069</v>
      </c>
      <c r="I582" s="53">
        <v>206</v>
      </c>
      <c r="J582" s="54">
        <v>11832.644700000001</v>
      </c>
      <c r="K582" s="55">
        <f t="shared" si="36"/>
        <v>0.77000000000000024</v>
      </c>
      <c r="L582" s="56">
        <f t="shared" si="37"/>
        <v>0.77000000000000024</v>
      </c>
      <c r="M582" s="56" t="str">
        <f t="shared" si="38"/>
        <v/>
      </c>
      <c r="N582" s="56" t="str">
        <f t="shared" si="39"/>
        <v>OK</v>
      </c>
      <c r="O582" s="2"/>
      <c r="P582" s="27"/>
      <c r="Q582" s="2"/>
      <c r="R582" s="2"/>
    </row>
    <row r="583" spans="1:18" x14ac:dyDescent="0.35">
      <c r="A583" s="53">
        <v>247</v>
      </c>
      <c r="B583" s="53" t="s">
        <v>11</v>
      </c>
      <c r="C583" s="53" t="s">
        <v>32</v>
      </c>
      <c r="D583" s="53" t="s">
        <v>21</v>
      </c>
      <c r="E583" s="53" t="s">
        <v>26</v>
      </c>
      <c r="F583" s="54">
        <v>43237.36</v>
      </c>
      <c r="G583" s="53">
        <v>351102</v>
      </c>
      <c r="H583" s="53">
        <v>18914</v>
      </c>
      <c r="I583" s="53">
        <v>1553</v>
      </c>
      <c r="J583" s="54">
        <v>76962.500799999994</v>
      </c>
      <c r="K583" s="55">
        <f t="shared" si="36"/>
        <v>0.7799999999999998</v>
      </c>
      <c r="L583" s="56">
        <f t="shared" si="37"/>
        <v>0.7799999999999998</v>
      </c>
      <c r="M583" s="56" t="str">
        <f t="shared" si="38"/>
        <v/>
      </c>
      <c r="N583" s="56" t="str">
        <f t="shared" si="39"/>
        <v>OK</v>
      </c>
      <c r="O583" s="2"/>
      <c r="P583" s="27"/>
      <c r="Q583" s="2"/>
      <c r="R583" s="2"/>
    </row>
    <row r="584" spans="1:18" x14ac:dyDescent="0.35">
      <c r="A584" s="57">
        <v>214</v>
      </c>
      <c r="B584" s="57" t="s">
        <v>8</v>
      </c>
      <c r="C584" s="57" t="s">
        <v>31</v>
      </c>
      <c r="D584" s="57" t="s">
        <v>19</v>
      </c>
      <c r="E584" s="57" t="s">
        <v>28</v>
      </c>
      <c r="F584" s="58">
        <v>41565.550000000003</v>
      </c>
      <c r="G584" s="57">
        <v>492488</v>
      </c>
      <c r="H584" s="57">
        <v>17578</v>
      </c>
      <c r="I584" s="57">
        <v>1882</v>
      </c>
      <c r="J584" s="58">
        <v>73986.679000000004</v>
      </c>
      <c r="K584" s="55">
        <f t="shared" si="36"/>
        <v>0.77999999999999992</v>
      </c>
      <c r="L584" s="56" t="str">
        <f t="shared" si="37"/>
        <v/>
      </c>
      <c r="M584" s="56">
        <f t="shared" si="38"/>
        <v>0.77999999999999992</v>
      </c>
      <c r="N584" s="56" t="str">
        <f t="shared" si="39"/>
        <v>OK</v>
      </c>
      <c r="O584" s="2"/>
      <c r="P584" s="27"/>
      <c r="Q584" s="2"/>
      <c r="R584" s="2"/>
    </row>
    <row r="585" spans="1:18" x14ac:dyDescent="0.35">
      <c r="A585" s="53">
        <v>551</v>
      </c>
      <c r="B585" s="53" t="s">
        <v>11</v>
      </c>
      <c r="C585" s="53" t="s">
        <v>32</v>
      </c>
      <c r="D585" s="53" t="s">
        <v>22</v>
      </c>
      <c r="E585" s="53" t="s">
        <v>28</v>
      </c>
      <c r="F585" s="54">
        <v>35049.24</v>
      </c>
      <c r="G585" s="53">
        <v>726046</v>
      </c>
      <c r="H585" s="53">
        <v>1360</v>
      </c>
      <c r="I585" s="53">
        <v>1473</v>
      </c>
      <c r="J585" s="54">
        <v>62387.647199999999</v>
      </c>
      <c r="K585" s="55">
        <f t="shared" si="36"/>
        <v>0.78000000000000014</v>
      </c>
      <c r="L585" s="56">
        <f t="shared" si="37"/>
        <v>0.78000000000000014</v>
      </c>
      <c r="M585" s="56" t="str">
        <f t="shared" si="38"/>
        <v/>
      </c>
      <c r="N585" s="56" t="str">
        <f t="shared" si="39"/>
        <v>ERROR: Conversions &gt; Clicks</v>
      </c>
      <c r="O585" s="2"/>
      <c r="P585" s="27"/>
      <c r="Q585" s="2"/>
      <c r="R585" s="2"/>
    </row>
    <row r="586" spans="1:18" x14ac:dyDescent="0.35">
      <c r="A586" s="53">
        <v>327</v>
      </c>
      <c r="B586" s="53" t="s">
        <v>9</v>
      </c>
      <c r="C586" s="53" t="s">
        <v>31</v>
      </c>
      <c r="D586" s="53" t="s">
        <v>21</v>
      </c>
      <c r="E586" s="53" t="s">
        <v>29</v>
      </c>
      <c r="F586" s="54">
        <v>19572.330000000002</v>
      </c>
      <c r="G586" s="53">
        <v>486128</v>
      </c>
      <c r="H586" s="53">
        <v>16536</v>
      </c>
      <c r="I586" s="53">
        <v>1792</v>
      </c>
      <c r="J586" s="54">
        <v>35034.470699999998</v>
      </c>
      <c r="K586" s="55">
        <f t="shared" si="36"/>
        <v>0.7899999999999997</v>
      </c>
      <c r="L586" s="56" t="str">
        <f t="shared" si="37"/>
        <v/>
      </c>
      <c r="M586" s="56">
        <f t="shared" si="38"/>
        <v>0.7899999999999997</v>
      </c>
      <c r="N586" s="56" t="str">
        <f t="shared" si="39"/>
        <v>OK</v>
      </c>
      <c r="O586" s="2"/>
      <c r="P586" s="27"/>
      <c r="Q586" s="2"/>
      <c r="R586" s="2"/>
    </row>
    <row r="587" spans="1:18" x14ac:dyDescent="0.35">
      <c r="A587" s="57">
        <v>246</v>
      </c>
      <c r="B587" s="57" t="s">
        <v>10</v>
      </c>
      <c r="C587" s="57" t="s">
        <v>31</v>
      </c>
      <c r="D587" s="57" t="s">
        <v>21</v>
      </c>
      <c r="E587" s="57" t="s">
        <v>25</v>
      </c>
      <c r="F587" s="58">
        <v>5780.56</v>
      </c>
      <c r="G587" s="57">
        <v>753859</v>
      </c>
      <c r="H587" s="57">
        <v>12553</v>
      </c>
      <c r="I587" s="57">
        <v>300</v>
      </c>
      <c r="J587" s="58">
        <v>10347.2024</v>
      </c>
      <c r="K587" s="55">
        <f t="shared" si="36"/>
        <v>0.78999999999999992</v>
      </c>
      <c r="L587" s="56" t="str">
        <f t="shared" si="37"/>
        <v/>
      </c>
      <c r="M587" s="56">
        <f t="shared" si="38"/>
        <v>0.78999999999999992</v>
      </c>
      <c r="N587" s="56" t="str">
        <f t="shared" si="39"/>
        <v>OK</v>
      </c>
      <c r="O587" s="2"/>
      <c r="P587" s="27"/>
      <c r="Q587" s="2"/>
      <c r="R587" s="2"/>
    </row>
    <row r="588" spans="1:18" x14ac:dyDescent="0.35">
      <c r="A588" s="57">
        <v>362</v>
      </c>
      <c r="B588" s="57" t="s">
        <v>11</v>
      </c>
      <c r="C588" s="57" t="s">
        <v>32</v>
      </c>
      <c r="D588" s="57" t="s">
        <v>20</v>
      </c>
      <c r="E588" s="57" t="s">
        <v>26</v>
      </c>
      <c r="F588" s="58">
        <v>34401.800000000003</v>
      </c>
      <c r="G588" s="57">
        <v>517831</v>
      </c>
      <c r="H588" s="57">
        <v>1010</v>
      </c>
      <c r="I588" s="57">
        <v>31</v>
      </c>
      <c r="J588" s="58">
        <v>61579.222000000002</v>
      </c>
      <c r="K588" s="55">
        <f t="shared" si="36"/>
        <v>0.78999999999999992</v>
      </c>
      <c r="L588" s="56">
        <f t="shared" si="37"/>
        <v>0.78999999999999992</v>
      </c>
      <c r="M588" s="56" t="str">
        <f t="shared" si="38"/>
        <v/>
      </c>
      <c r="N588" s="56" t="str">
        <f t="shared" si="39"/>
        <v>OK</v>
      </c>
      <c r="O588" s="2"/>
      <c r="P588" s="27"/>
      <c r="Q588" s="2"/>
      <c r="R588" s="2"/>
    </row>
    <row r="589" spans="1:18" x14ac:dyDescent="0.35">
      <c r="A589" s="57">
        <v>860</v>
      </c>
      <c r="B589" s="57" t="s">
        <v>8</v>
      </c>
      <c r="C589" s="57" t="s">
        <v>31</v>
      </c>
      <c r="D589" s="57" t="s">
        <v>21</v>
      </c>
      <c r="E589" s="57" t="s">
        <v>24</v>
      </c>
      <c r="F589" s="58">
        <v>48755</v>
      </c>
      <c r="G589" s="57">
        <v>188969</v>
      </c>
      <c r="H589" s="57">
        <v>387</v>
      </c>
      <c r="I589" s="57">
        <v>1525</v>
      </c>
      <c r="J589" s="58">
        <v>87271.45</v>
      </c>
      <c r="K589" s="55">
        <f t="shared" si="36"/>
        <v>0.78999999999999992</v>
      </c>
      <c r="L589" s="56" t="str">
        <f t="shared" si="37"/>
        <v/>
      </c>
      <c r="M589" s="56">
        <f t="shared" si="38"/>
        <v>0.78999999999999992</v>
      </c>
      <c r="N589" s="56" t="str">
        <f t="shared" si="39"/>
        <v>ERROR: Conversions &gt; Clicks</v>
      </c>
      <c r="O589" s="2"/>
      <c r="P589" s="27"/>
      <c r="Q589" s="2"/>
      <c r="R589" s="2"/>
    </row>
    <row r="590" spans="1:18" x14ac:dyDescent="0.35">
      <c r="A590" s="53">
        <v>953</v>
      </c>
      <c r="B590" s="53" t="s">
        <v>15</v>
      </c>
      <c r="C590" s="53" t="s">
        <v>32</v>
      </c>
      <c r="D590" s="53" t="s">
        <v>18</v>
      </c>
      <c r="E590" s="53" t="s">
        <v>24</v>
      </c>
      <c r="F590" s="54">
        <v>12282.3</v>
      </c>
      <c r="G590" s="53">
        <v>458828</v>
      </c>
      <c r="H590" s="53">
        <v>14641</v>
      </c>
      <c r="I590" s="53">
        <v>1764</v>
      </c>
      <c r="J590" s="54">
        <v>21985.316999999999</v>
      </c>
      <c r="K590" s="55">
        <f t="shared" si="36"/>
        <v>0.79</v>
      </c>
      <c r="L590" s="56">
        <f t="shared" si="37"/>
        <v>0.79</v>
      </c>
      <c r="M590" s="56" t="str">
        <f t="shared" si="38"/>
        <v/>
      </c>
      <c r="N590" s="56" t="str">
        <f t="shared" si="39"/>
        <v>OK</v>
      </c>
      <c r="O590" s="2"/>
      <c r="P590" s="27"/>
      <c r="Q590" s="2"/>
      <c r="R590" s="2"/>
    </row>
    <row r="591" spans="1:18" x14ac:dyDescent="0.35">
      <c r="A591" s="57">
        <v>10</v>
      </c>
      <c r="B591" s="57" t="s">
        <v>14</v>
      </c>
      <c r="C591" s="57" t="s">
        <v>32</v>
      </c>
      <c r="D591" s="57" t="s">
        <v>17</v>
      </c>
      <c r="E591" s="57" t="s">
        <v>29</v>
      </c>
      <c r="F591" s="58">
        <v>33700.17</v>
      </c>
      <c r="G591" s="57">
        <v>982892</v>
      </c>
      <c r="H591" s="57">
        <v>10725</v>
      </c>
      <c r="I591" s="57">
        <v>1974</v>
      </c>
      <c r="J591" s="58">
        <v>60323.304300000003</v>
      </c>
      <c r="K591" s="55">
        <f t="shared" si="36"/>
        <v>0.79000000000000015</v>
      </c>
      <c r="L591" s="56">
        <f t="shared" si="37"/>
        <v>0.79000000000000015</v>
      </c>
      <c r="M591" s="56" t="str">
        <f t="shared" si="38"/>
        <v/>
      </c>
      <c r="N591" s="56" t="str">
        <f t="shared" si="39"/>
        <v>OK</v>
      </c>
      <c r="O591" s="2"/>
      <c r="P591" s="27"/>
      <c r="Q591" s="2"/>
      <c r="R591" s="2"/>
    </row>
    <row r="592" spans="1:18" x14ac:dyDescent="0.35">
      <c r="A592" s="53">
        <v>231</v>
      </c>
      <c r="B592" s="53" t="s">
        <v>10</v>
      </c>
      <c r="C592" s="53" t="s">
        <v>31</v>
      </c>
      <c r="D592" s="53" t="s">
        <v>17</v>
      </c>
      <c r="E592" s="53" t="s">
        <v>27</v>
      </c>
      <c r="F592" s="54">
        <v>34503.949999999997</v>
      </c>
      <c r="G592" s="53">
        <v>729785</v>
      </c>
      <c r="H592" s="53">
        <v>961</v>
      </c>
      <c r="I592" s="53">
        <v>1221</v>
      </c>
      <c r="J592" s="54">
        <v>61762.070500000002</v>
      </c>
      <c r="K592" s="55">
        <f t="shared" si="36"/>
        <v>0.79000000000000015</v>
      </c>
      <c r="L592" s="56" t="str">
        <f t="shared" si="37"/>
        <v/>
      </c>
      <c r="M592" s="56">
        <f t="shared" si="38"/>
        <v>0.79000000000000015</v>
      </c>
      <c r="N592" s="56" t="str">
        <f t="shared" si="39"/>
        <v>ERROR: Conversions &gt; Clicks</v>
      </c>
      <c r="O592" s="2"/>
      <c r="P592" s="27"/>
      <c r="Q592" s="2"/>
      <c r="R592" s="2"/>
    </row>
    <row r="593" spans="1:18" x14ac:dyDescent="0.35">
      <c r="A593" s="53">
        <v>723</v>
      </c>
      <c r="B593" s="53" t="s">
        <v>12</v>
      </c>
      <c r="C593" s="53" t="s">
        <v>32</v>
      </c>
      <c r="D593" s="53" t="s">
        <v>21</v>
      </c>
      <c r="E593" s="53" t="s">
        <v>26</v>
      </c>
      <c r="F593" s="54">
        <v>1113.56</v>
      </c>
      <c r="G593" s="53">
        <v>881206</v>
      </c>
      <c r="H593" s="53">
        <v>13804</v>
      </c>
      <c r="I593" s="53">
        <v>1926</v>
      </c>
      <c r="J593" s="54">
        <v>1993.2724000000001</v>
      </c>
      <c r="K593" s="55">
        <f t="shared" si="36"/>
        <v>0.79000000000000015</v>
      </c>
      <c r="L593" s="56">
        <f t="shared" si="37"/>
        <v>0.79000000000000015</v>
      </c>
      <c r="M593" s="56" t="str">
        <f t="shared" si="38"/>
        <v/>
      </c>
      <c r="N593" s="56" t="str">
        <f t="shared" si="39"/>
        <v>OK</v>
      </c>
      <c r="O593" s="2"/>
      <c r="P593" s="27"/>
      <c r="Q593" s="2"/>
      <c r="R593" s="2"/>
    </row>
    <row r="594" spans="1:18" x14ac:dyDescent="0.35">
      <c r="A594" s="53">
        <v>279</v>
      </c>
      <c r="B594" s="53" t="s">
        <v>11</v>
      </c>
      <c r="C594" s="53" t="s">
        <v>32</v>
      </c>
      <c r="D594" s="53" t="s">
        <v>22</v>
      </c>
      <c r="E594" s="53" t="s">
        <v>26</v>
      </c>
      <c r="F594" s="54">
        <v>20471.689999999999</v>
      </c>
      <c r="G594" s="53">
        <v>809482</v>
      </c>
      <c r="H594" s="53">
        <v>17013</v>
      </c>
      <c r="I594" s="53">
        <v>551</v>
      </c>
      <c r="J594" s="54">
        <v>36644.325100000002</v>
      </c>
      <c r="K594" s="55">
        <f t="shared" si="36"/>
        <v>0.79000000000000026</v>
      </c>
      <c r="L594" s="56">
        <f t="shared" si="37"/>
        <v>0.79000000000000026</v>
      </c>
      <c r="M594" s="56" t="str">
        <f t="shared" si="38"/>
        <v/>
      </c>
      <c r="N594" s="56" t="str">
        <f t="shared" si="39"/>
        <v>OK</v>
      </c>
      <c r="O594" s="2"/>
      <c r="P594" s="27"/>
      <c r="Q594" s="2"/>
      <c r="R594" s="2"/>
    </row>
    <row r="595" spans="1:18" x14ac:dyDescent="0.35">
      <c r="A595" s="53">
        <v>201</v>
      </c>
      <c r="B595" s="53" t="s">
        <v>8</v>
      </c>
      <c r="C595" s="53" t="s">
        <v>31</v>
      </c>
      <c r="D595" s="53" t="s">
        <v>21</v>
      </c>
      <c r="E595" s="53" t="s">
        <v>29</v>
      </c>
      <c r="F595" s="54">
        <v>3278.53</v>
      </c>
      <c r="G595" s="53">
        <v>167636</v>
      </c>
      <c r="H595" s="53">
        <v>6874</v>
      </c>
      <c r="I595" s="53">
        <v>1592</v>
      </c>
      <c r="J595" s="54">
        <v>5901.3540000000003</v>
      </c>
      <c r="K595" s="55">
        <f t="shared" si="36"/>
        <v>0.79999999999999993</v>
      </c>
      <c r="L595" s="56" t="str">
        <f t="shared" si="37"/>
        <v/>
      </c>
      <c r="M595" s="56">
        <f t="shared" si="38"/>
        <v>0.79999999999999993</v>
      </c>
      <c r="N595" s="56" t="str">
        <f t="shared" si="39"/>
        <v>OK</v>
      </c>
      <c r="O595" s="2"/>
      <c r="P595" s="27"/>
      <c r="Q595" s="2"/>
      <c r="R595" s="2"/>
    </row>
    <row r="596" spans="1:18" x14ac:dyDescent="0.35">
      <c r="A596" s="57">
        <v>904</v>
      </c>
      <c r="B596" s="57" t="s">
        <v>8</v>
      </c>
      <c r="C596" s="57" t="s">
        <v>31</v>
      </c>
      <c r="D596" s="57" t="s">
        <v>20</v>
      </c>
      <c r="E596" s="57" t="s">
        <v>25</v>
      </c>
      <c r="F596" s="58">
        <v>28961.83</v>
      </c>
      <c r="G596" s="57">
        <v>704119</v>
      </c>
      <c r="H596" s="57">
        <v>14007</v>
      </c>
      <c r="I596" s="57">
        <v>1882</v>
      </c>
      <c r="J596" s="58">
        <v>52131.294000000002</v>
      </c>
      <c r="K596" s="55">
        <f t="shared" si="36"/>
        <v>0.79999999999999993</v>
      </c>
      <c r="L596" s="56" t="str">
        <f t="shared" si="37"/>
        <v/>
      </c>
      <c r="M596" s="56">
        <f t="shared" si="38"/>
        <v>0.79999999999999993</v>
      </c>
      <c r="N596" s="56" t="str">
        <f t="shared" si="39"/>
        <v>OK</v>
      </c>
      <c r="O596" s="2"/>
      <c r="P596" s="27"/>
      <c r="Q596" s="2"/>
      <c r="R596" s="2"/>
    </row>
    <row r="597" spans="1:18" x14ac:dyDescent="0.35">
      <c r="A597" s="57">
        <v>558</v>
      </c>
      <c r="B597" s="57" t="s">
        <v>10</v>
      </c>
      <c r="C597" s="57" t="s">
        <v>31</v>
      </c>
      <c r="D597" s="57" t="s">
        <v>20</v>
      </c>
      <c r="E597" s="57" t="s">
        <v>25</v>
      </c>
      <c r="F597" s="58">
        <v>11586.52</v>
      </c>
      <c r="G597" s="57">
        <v>733858</v>
      </c>
      <c r="H597" s="57">
        <v>5998</v>
      </c>
      <c r="I597" s="57">
        <v>1893</v>
      </c>
      <c r="J597" s="58">
        <v>20855.736000000001</v>
      </c>
      <c r="K597" s="55">
        <f t="shared" si="36"/>
        <v>0.8</v>
      </c>
      <c r="L597" s="56" t="str">
        <f t="shared" si="37"/>
        <v/>
      </c>
      <c r="M597" s="56">
        <f t="shared" si="38"/>
        <v>0.8</v>
      </c>
      <c r="N597" s="56" t="str">
        <f t="shared" si="39"/>
        <v>OK</v>
      </c>
      <c r="O597" s="2"/>
      <c r="P597" s="27"/>
      <c r="Q597" s="2"/>
      <c r="R597" s="2"/>
    </row>
    <row r="598" spans="1:18" x14ac:dyDescent="0.35">
      <c r="A598" s="57">
        <v>648</v>
      </c>
      <c r="B598" s="57" t="s">
        <v>11</v>
      </c>
      <c r="C598" s="57" t="s">
        <v>32</v>
      </c>
      <c r="D598" s="57" t="s">
        <v>22</v>
      </c>
      <c r="E598" s="57" t="s">
        <v>29</v>
      </c>
      <c r="F598" s="58">
        <v>41021.089999999997</v>
      </c>
      <c r="G598" s="57">
        <v>441722</v>
      </c>
      <c r="H598" s="57">
        <v>14162</v>
      </c>
      <c r="I598" s="57">
        <v>1622</v>
      </c>
      <c r="J598" s="58">
        <v>73837.962</v>
      </c>
      <c r="K598" s="55">
        <f t="shared" si="36"/>
        <v>0.80000000000000016</v>
      </c>
      <c r="L598" s="56">
        <f t="shared" si="37"/>
        <v>0.80000000000000016</v>
      </c>
      <c r="M598" s="56" t="str">
        <f t="shared" si="38"/>
        <v/>
      </c>
      <c r="N598" s="56" t="str">
        <f t="shared" si="39"/>
        <v>OK</v>
      </c>
      <c r="O598" s="2"/>
      <c r="P598" s="27"/>
      <c r="Q598" s="2"/>
      <c r="R598" s="2"/>
    </row>
    <row r="599" spans="1:18" x14ac:dyDescent="0.35">
      <c r="A599" s="57">
        <v>150</v>
      </c>
      <c r="B599" s="57" t="s">
        <v>13</v>
      </c>
      <c r="C599" s="57" t="s">
        <v>32</v>
      </c>
      <c r="D599" s="57" t="s">
        <v>17</v>
      </c>
      <c r="E599" s="57" t="s">
        <v>26</v>
      </c>
      <c r="F599" s="58">
        <v>9734.3700000000008</v>
      </c>
      <c r="G599" s="57">
        <v>155342</v>
      </c>
      <c r="H599" s="57">
        <v>13388</v>
      </c>
      <c r="I599" s="57">
        <v>390</v>
      </c>
      <c r="J599" s="58">
        <v>17619.209699999999</v>
      </c>
      <c r="K599" s="55">
        <f t="shared" si="36"/>
        <v>0.80999999999999983</v>
      </c>
      <c r="L599" s="56">
        <f t="shared" si="37"/>
        <v>0.80999999999999983</v>
      </c>
      <c r="M599" s="56" t="str">
        <f t="shared" si="38"/>
        <v/>
      </c>
      <c r="N599" s="56" t="str">
        <f t="shared" si="39"/>
        <v>OK</v>
      </c>
      <c r="O599" s="2"/>
      <c r="P599" s="27"/>
      <c r="Q599" s="2"/>
      <c r="R599" s="2"/>
    </row>
    <row r="600" spans="1:18" x14ac:dyDescent="0.35">
      <c r="A600" s="57">
        <v>538</v>
      </c>
      <c r="B600" s="57" t="s">
        <v>8</v>
      </c>
      <c r="C600" s="57" t="s">
        <v>31</v>
      </c>
      <c r="D600" s="57" t="s">
        <v>21</v>
      </c>
      <c r="E600" s="57" t="s">
        <v>26</v>
      </c>
      <c r="F600" s="58">
        <v>44513.91</v>
      </c>
      <c r="G600" s="57">
        <v>303125</v>
      </c>
      <c r="H600" s="57">
        <v>13259</v>
      </c>
      <c r="I600" s="57">
        <v>759</v>
      </c>
      <c r="J600" s="58">
        <v>80570.177100000001</v>
      </c>
      <c r="K600" s="55">
        <f t="shared" si="36"/>
        <v>0.80999999999999983</v>
      </c>
      <c r="L600" s="56" t="str">
        <f t="shared" si="37"/>
        <v/>
      </c>
      <c r="M600" s="56">
        <f t="shared" si="38"/>
        <v>0.80999999999999983</v>
      </c>
      <c r="N600" s="56" t="str">
        <f t="shared" si="39"/>
        <v>OK</v>
      </c>
      <c r="O600" s="2"/>
      <c r="P600" s="27"/>
      <c r="Q600" s="2"/>
      <c r="R600" s="2"/>
    </row>
    <row r="601" spans="1:18" x14ac:dyDescent="0.35">
      <c r="A601" s="57">
        <v>908</v>
      </c>
      <c r="B601" s="57" t="s">
        <v>9</v>
      </c>
      <c r="C601" s="57" t="s">
        <v>31</v>
      </c>
      <c r="D601" s="57" t="s">
        <v>18</v>
      </c>
      <c r="E601" s="57" t="s">
        <v>24</v>
      </c>
      <c r="F601" s="58">
        <v>44083.5</v>
      </c>
      <c r="G601" s="57">
        <v>761731</v>
      </c>
      <c r="H601" s="57">
        <v>8735</v>
      </c>
      <c r="I601" s="57">
        <v>1571</v>
      </c>
      <c r="J601" s="58">
        <v>79791.134999999995</v>
      </c>
      <c r="K601" s="55">
        <f t="shared" si="36"/>
        <v>0.80999999999999983</v>
      </c>
      <c r="L601" s="56" t="str">
        <f t="shared" si="37"/>
        <v/>
      </c>
      <c r="M601" s="56">
        <f t="shared" si="38"/>
        <v>0.80999999999999983</v>
      </c>
      <c r="N601" s="56" t="str">
        <f t="shared" si="39"/>
        <v>OK</v>
      </c>
      <c r="O601" s="2"/>
      <c r="P601" s="27"/>
      <c r="Q601" s="2"/>
      <c r="R601" s="2"/>
    </row>
    <row r="602" spans="1:18" x14ac:dyDescent="0.35">
      <c r="A602" s="57">
        <v>286</v>
      </c>
      <c r="B602" s="57" t="s">
        <v>9</v>
      </c>
      <c r="C602" s="57" t="s">
        <v>31</v>
      </c>
      <c r="D602" s="57" t="s">
        <v>21</v>
      </c>
      <c r="E602" s="57" t="s">
        <v>29</v>
      </c>
      <c r="F602" s="58">
        <v>38116.61</v>
      </c>
      <c r="G602" s="57">
        <v>470115</v>
      </c>
      <c r="H602" s="57">
        <v>11188</v>
      </c>
      <c r="I602" s="57">
        <v>231</v>
      </c>
      <c r="J602" s="58">
        <v>68991.064100000003</v>
      </c>
      <c r="K602" s="55">
        <f t="shared" si="36"/>
        <v>0.81</v>
      </c>
      <c r="L602" s="56" t="str">
        <f t="shared" si="37"/>
        <v/>
      </c>
      <c r="M602" s="56">
        <f t="shared" si="38"/>
        <v>0.81</v>
      </c>
      <c r="N602" s="56" t="str">
        <f t="shared" si="39"/>
        <v>OK</v>
      </c>
      <c r="O602" s="2"/>
      <c r="P602" s="27"/>
      <c r="Q602" s="2"/>
      <c r="R602" s="2"/>
    </row>
    <row r="603" spans="1:18" x14ac:dyDescent="0.35">
      <c r="A603" s="57">
        <v>240</v>
      </c>
      <c r="B603" s="57" t="s">
        <v>13</v>
      </c>
      <c r="C603" s="57" t="s">
        <v>32</v>
      </c>
      <c r="D603" s="57" t="s">
        <v>18</v>
      </c>
      <c r="E603" s="57" t="s">
        <v>28</v>
      </c>
      <c r="F603" s="58">
        <v>12081.21</v>
      </c>
      <c r="G603" s="57">
        <v>325018</v>
      </c>
      <c r="H603" s="57">
        <v>18632</v>
      </c>
      <c r="I603" s="57">
        <v>1546</v>
      </c>
      <c r="J603" s="58">
        <v>21987.802199999998</v>
      </c>
      <c r="K603" s="55">
        <f t="shared" si="36"/>
        <v>0.82</v>
      </c>
      <c r="L603" s="56">
        <f t="shared" si="37"/>
        <v>0.82</v>
      </c>
      <c r="M603" s="56" t="str">
        <f t="shared" si="38"/>
        <v/>
      </c>
      <c r="N603" s="56" t="str">
        <f t="shared" si="39"/>
        <v>OK</v>
      </c>
      <c r="O603" s="2"/>
      <c r="P603" s="27"/>
      <c r="Q603" s="2"/>
      <c r="R603" s="2"/>
    </row>
    <row r="604" spans="1:18" x14ac:dyDescent="0.35">
      <c r="A604" s="57">
        <v>270</v>
      </c>
      <c r="B604" s="57" t="s">
        <v>9</v>
      </c>
      <c r="C604" s="57" t="s">
        <v>31</v>
      </c>
      <c r="D604" s="57" t="s">
        <v>20</v>
      </c>
      <c r="E604" s="57" t="s">
        <v>27</v>
      </c>
      <c r="F604" s="58">
        <v>28341.06</v>
      </c>
      <c r="G604" s="57">
        <v>887550</v>
      </c>
      <c r="H604" s="57">
        <v>19802</v>
      </c>
      <c r="I604" s="57">
        <v>430</v>
      </c>
      <c r="J604" s="58">
        <v>51580.729200000002</v>
      </c>
      <c r="K604" s="55">
        <f t="shared" si="36"/>
        <v>0.82</v>
      </c>
      <c r="L604" s="56" t="str">
        <f t="shared" si="37"/>
        <v/>
      </c>
      <c r="M604" s="56">
        <f t="shared" si="38"/>
        <v>0.82</v>
      </c>
      <c r="N604" s="56" t="str">
        <f t="shared" si="39"/>
        <v>OK</v>
      </c>
      <c r="O604" s="2"/>
      <c r="P604" s="27"/>
      <c r="Q604" s="2"/>
      <c r="R604" s="2"/>
    </row>
    <row r="605" spans="1:18" x14ac:dyDescent="0.35">
      <c r="A605" s="57">
        <v>726</v>
      </c>
      <c r="B605" s="57" t="s">
        <v>15</v>
      </c>
      <c r="C605" s="57" t="s">
        <v>32</v>
      </c>
      <c r="D605" s="57" t="s">
        <v>21</v>
      </c>
      <c r="E605" s="57" t="s">
        <v>26</v>
      </c>
      <c r="F605" s="58">
        <v>32012.41</v>
      </c>
      <c r="G605" s="57">
        <v>33408</v>
      </c>
      <c r="H605" s="57">
        <v>16708</v>
      </c>
      <c r="I605" s="57">
        <v>30</v>
      </c>
      <c r="J605" s="58">
        <v>58262.586199999998</v>
      </c>
      <c r="K605" s="55">
        <f t="shared" si="36"/>
        <v>0.82</v>
      </c>
      <c r="L605" s="56">
        <f t="shared" si="37"/>
        <v>0.82</v>
      </c>
      <c r="M605" s="56" t="str">
        <f t="shared" si="38"/>
        <v/>
      </c>
      <c r="N605" s="56" t="str">
        <f t="shared" si="39"/>
        <v>OK</v>
      </c>
      <c r="O605" s="2"/>
      <c r="P605" s="27"/>
      <c r="Q605" s="2"/>
      <c r="R605" s="2"/>
    </row>
    <row r="606" spans="1:18" x14ac:dyDescent="0.35">
      <c r="A606" s="57">
        <v>888</v>
      </c>
      <c r="B606" s="57" t="s">
        <v>10</v>
      </c>
      <c r="C606" s="57" t="s">
        <v>31</v>
      </c>
      <c r="D606" s="57" t="s">
        <v>22</v>
      </c>
      <c r="E606" s="57" t="s">
        <v>25</v>
      </c>
      <c r="F606" s="58">
        <v>23291.03</v>
      </c>
      <c r="G606" s="57">
        <v>79300</v>
      </c>
      <c r="H606" s="57">
        <v>9109</v>
      </c>
      <c r="I606" s="57">
        <v>982</v>
      </c>
      <c r="J606" s="58">
        <v>42389.674599999998</v>
      </c>
      <c r="K606" s="55">
        <f t="shared" si="36"/>
        <v>0.82000000000000006</v>
      </c>
      <c r="L606" s="56" t="str">
        <f t="shared" si="37"/>
        <v/>
      </c>
      <c r="M606" s="56">
        <f t="shared" si="38"/>
        <v>0.82000000000000006</v>
      </c>
      <c r="N606" s="56" t="str">
        <f t="shared" si="39"/>
        <v>OK</v>
      </c>
      <c r="O606" s="2"/>
      <c r="P606" s="27"/>
      <c r="Q606" s="2"/>
      <c r="R606" s="2"/>
    </row>
    <row r="607" spans="1:18" x14ac:dyDescent="0.35">
      <c r="A607" s="53">
        <v>987</v>
      </c>
      <c r="B607" s="53" t="s">
        <v>12</v>
      </c>
      <c r="C607" s="53" t="s">
        <v>32</v>
      </c>
      <c r="D607" s="53" t="s">
        <v>18</v>
      </c>
      <c r="E607" s="53" t="s">
        <v>24</v>
      </c>
      <c r="F607" s="54">
        <v>11483.89</v>
      </c>
      <c r="G607" s="53">
        <v>758943</v>
      </c>
      <c r="H607" s="53">
        <v>5042</v>
      </c>
      <c r="I607" s="53">
        <v>1350</v>
      </c>
      <c r="J607" s="54">
        <v>20900.679800000002</v>
      </c>
      <c r="K607" s="55">
        <f t="shared" si="36"/>
        <v>0.82000000000000028</v>
      </c>
      <c r="L607" s="56">
        <f t="shared" si="37"/>
        <v>0.82000000000000028</v>
      </c>
      <c r="M607" s="56" t="str">
        <f t="shared" si="38"/>
        <v/>
      </c>
      <c r="N607" s="56" t="str">
        <f t="shared" si="39"/>
        <v>OK</v>
      </c>
      <c r="O607" s="2"/>
      <c r="P607" s="27"/>
      <c r="Q607" s="2"/>
      <c r="R607" s="2"/>
    </row>
    <row r="608" spans="1:18" x14ac:dyDescent="0.35">
      <c r="A608" s="57">
        <v>950</v>
      </c>
      <c r="B608" s="57" t="s">
        <v>15</v>
      </c>
      <c r="C608" s="57" t="s">
        <v>32</v>
      </c>
      <c r="D608" s="57" t="s">
        <v>19</v>
      </c>
      <c r="E608" s="57" t="s">
        <v>28</v>
      </c>
      <c r="F608" s="58">
        <v>34814.730000000003</v>
      </c>
      <c r="G608" s="57">
        <v>666030</v>
      </c>
      <c r="H608" s="57">
        <v>5673</v>
      </c>
      <c r="I608" s="57">
        <v>1552</v>
      </c>
      <c r="J608" s="58">
        <v>63710.955900000001</v>
      </c>
      <c r="K608" s="55">
        <f t="shared" si="36"/>
        <v>0.82999999999999985</v>
      </c>
      <c r="L608" s="56">
        <f t="shared" si="37"/>
        <v>0.82999999999999985</v>
      </c>
      <c r="M608" s="56" t="str">
        <f t="shared" si="38"/>
        <v/>
      </c>
      <c r="N608" s="56" t="str">
        <f t="shared" si="39"/>
        <v>OK</v>
      </c>
      <c r="O608" s="2"/>
      <c r="P608" s="27"/>
      <c r="Q608" s="2"/>
      <c r="R608" s="2"/>
    </row>
    <row r="609" spans="1:18" x14ac:dyDescent="0.35">
      <c r="A609" s="57">
        <v>144</v>
      </c>
      <c r="B609" s="57" t="s">
        <v>13</v>
      </c>
      <c r="C609" s="57" t="s">
        <v>32</v>
      </c>
      <c r="D609" s="57" t="s">
        <v>18</v>
      </c>
      <c r="E609" s="57" t="s">
        <v>28</v>
      </c>
      <c r="F609" s="58">
        <v>38562.839999999997</v>
      </c>
      <c r="G609" s="57">
        <v>372916</v>
      </c>
      <c r="H609" s="57">
        <v>14906</v>
      </c>
      <c r="I609" s="57">
        <v>1854</v>
      </c>
      <c r="J609" s="58">
        <v>70569.997199999998</v>
      </c>
      <c r="K609" s="55">
        <f t="shared" si="36"/>
        <v>0.83000000000000007</v>
      </c>
      <c r="L609" s="56">
        <f t="shared" si="37"/>
        <v>0.83000000000000007</v>
      </c>
      <c r="M609" s="56" t="str">
        <f t="shared" si="38"/>
        <v/>
      </c>
      <c r="N609" s="56" t="str">
        <f t="shared" si="39"/>
        <v>OK</v>
      </c>
      <c r="O609" s="2"/>
      <c r="P609" s="27"/>
      <c r="Q609" s="2"/>
      <c r="R609" s="2"/>
    </row>
    <row r="610" spans="1:18" x14ac:dyDescent="0.35">
      <c r="A610" s="53">
        <v>293</v>
      </c>
      <c r="B610" s="53" t="s">
        <v>11</v>
      </c>
      <c r="C610" s="53" t="s">
        <v>32</v>
      </c>
      <c r="D610" s="53" t="s">
        <v>19</v>
      </c>
      <c r="E610" s="53" t="s">
        <v>24</v>
      </c>
      <c r="F610" s="54">
        <v>22932.54</v>
      </c>
      <c r="G610" s="53">
        <v>683647</v>
      </c>
      <c r="H610" s="53">
        <v>546</v>
      </c>
      <c r="I610" s="53">
        <v>262</v>
      </c>
      <c r="J610" s="54">
        <v>42195.873599999999</v>
      </c>
      <c r="K610" s="55">
        <f t="shared" si="36"/>
        <v>0.83999999999999986</v>
      </c>
      <c r="L610" s="56">
        <f t="shared" si="37"/>
        <v>0.83999999999999986</v>
      </c>
      <c r="M610" s="56" t="str">
        <f t="shared" si="38"/>
        <v/>
      </c>
      <c r="N610" s="56" t="str">
        <f t="shared" si="39"/>
        <v>OK</v>
      </c>
      <c r="O610" s="2"/>
      <c r="P610" s="27"/>
      <c r="Q610" s="2"/>
      <c r="R610" s="2"/>
    </row>
    <row r="611" spans="1:18" x14ac:dyDescent="0.35">
      <c r="A611" s="53">
        <v>627</v>
      </c>
      <c r="B611" s="53" t="s">
        <v>15</v>
      </c>
      <c r="C611" s="53" t="s">
        <v>32</v>
      </c>
      <c r="D611" s="53" t="s">
        <v>19</v>
      </c>
      <c r="E611" s="53" t="s">
        <v>26</v>
      </c>
      <c r="F611" s="54">
        <v>48566.37</v>
      </c>
      <c r="G611" s="53">
        <v>882379</v>
      </c>
      <c r="H611" s="53">
        <v>17487</v>
      </c>
      <c r="I611" s="53">
        <v>1336</v>
      </c>
      <c r="J611" s="54">
        <v>89362.120800000004</v>
      </c>
      <c r="K611" s="55">
        <f t="shared" si="36"/>
        <v>0.84</v>
      </c>
      <c r="L611" s="56">
        <f t="shared" si="37"/>
        <v>0.84</v>
      </c>
      <c r="M611" s="56" t="str">
        <f t="shared" si="38"/>
        <v/>
      </c>
      <c r="N611" s="56" t="str">
        <f t="shared" si="39"/>
        <v>OK</v>
      </c>
      <c r="O611" s="2"/>
      <c r="P611" s="27"/>
      <c r="Q611" s="2"/>
      <c r="R611" s="2"/>
    </row>
    <row r="612" spans="1:18" x14ac:dyDescent="0.35">
      <c r="A612" s="57">
        <v>668</v>
      </c>
      <c r="B612" s="57" t="s">
        <v>12</v>
      </c>
      <c r="C612" s="57" t="s">
        <v>32</v>
      </c>
      <c r="D612" s="57" t="s">
        <v>18</v>
      </c>
      <c r="E612" s="57" t="s">
        <v>25</v>
      </c>
      <c r="F612" s="58">
        <v>27916.799999999999</v>
      </c>
      <c r="G612" s="57">
        <v>476755</v>
      </c>
      <c r="H612" s="57">
        <v>9872</v>
      </c>
      <c r="I612" s="57">
        <v>559</v>
      </c>
      <c r="J612" s="58">
        <v>51366.911999999997</v>
      </c>
      <c r="K612" s="55">
        <f t="shared" si="36"/>
        <v>0.84</v>
      </c>
      <c r="L612" s="56">
        <f t="shared" si="37"/>
        <v>0.84</v>
      </c>
      <c r="M612" s="56" t="str">
        <f t="shared" si="38"/>
        <v/>
      </c>
      <c r="N612" s="56" t="str">
        <f t="shared" si="39"/>
        <v>OK</v>
      </c>
      <c r="O612" s="2"/>
      <c r="P612" s="27"/>
      <c r="Q612" s="2"/>
      <c r="R612" s="2"/>
    </row>
    <row r="613" spans="1:18" x14ac:dyDescent="0.35">
      <c r="A613" s="53">
        <v>323</v>
      </c>
      <c r="B613" s="53" t="s">
        <v>12</v>
      </c>
      <c r="C613" s="53" t="s">
        <v>32</v>
      </c>
      <c r="D613" s="53" t="s">
        <v>17</v>
      </c>
      <c r="E613" s="53" t="s">
        <v>26</v>
      </c>
      <c r="F613" s="54">
        <v>5558.49</v>
      </c>
      <c r="G613" s="53">
        <v>169034</v>
      </c>
      <c r="H613" s="53">
        <v>19742</v>
      </c>
      <c r="I613" s="53">
        <v>914</v>
      </c>
      <c r="J613" s="54">
        <v>10227.6216</v>
      </c>
      <c r="K613" s="55">
        <f t="shared" si="36"/>
        <v>0.84000000000000019</v>
      </c>
      <c r="L613" s="56">
        <f t="shared" si="37"/>
        <v>0.84000000000000019</v>
      </c>
      <c r="M613" s="56" t="str">
        <f t="shared" si="38"/>
        <v/>
      </c>
      <c r="N613" s="56" t="str">
        <f t="shared" si="39"/>
        <v>OK</v>
      </c>
      <c r="O613" s="2"/>
      <c r="P613" s="27"/>
      <c r="Q613" s="2"/>
      <c r="R613" s="2"/>
    </row>
    <row r="614" spans="1:18" x14ac:dyDescent="0.35">
      <c r="A614" s="57">
        <v>424</v>
      </c>
      <c r="B614" s="57" t="s">
        <v>9</v>
      </c>
      <c r="C614" s="57" t="s">
        <v>31</v>
      </c>
      <c r="D614" s="57" t="s">
        <v>17</v>
      </c>
      <c r="E614" s="57" t="s">
        <v>26</v>
      </c>
      <c r="F614" s="58">
        <v>43985.83</v>
      </c>
      <c r="G614" s="57">
        <v>586201</v>
      </c>
      <c r="H614" s="57">
        <v>19597</v>
      </c>
      <c r="I614" s="57">
        <v>1933</v>
      </c>
      <c r="J614" s="58">
        <v>81373.785499999998</v>
      </c>
      <c r="K614" s="55">
        <f t="shared" si="36"/>
        <v>0.84999999999999987</v>
      </c>
      <c r="L614" s="56" t="str">
        <f t="shared" si="37"/>
        <v/>
      </c>
      <c r="M614" s="56">
        <f t="shared" si="38"/>
        <v>0.84999999999999987</v>
      </c>
      <c r="N614" s="56" t="str">
        <f t="shared" si="39"/>
        <v>OK</v>
      </c>
      <c r="O614" s="2"/>
      <c r="P614" s="27"/>
      <c r="Q614" s="2"/>
      <c r="R614" s="2"/>
    </row>
    <row r="615" spans="1:18" x14ac:dyDescent="0.35">
      <c r="A615" s="57">
        <v>982</v>
      </c>
      <c r="B615" s="57" t="s">
        <v>13</v>
      </c>
      <c r="C615" s="57" t="s">
        <v>32</v>
      </c>
      <c r="D615" s="57" t="s">
        <v>17</v>
      </c>
      <c r="E615" s="57" t="s">
        <v>27</v>
      </c>
      <c r="F615" s="58">
        <v>26604.45</v>
      </c>
      <c r="G615" s="57">
        <v>176782</v>
      </c>
      <c r="H615" s="57">
        <v>10448</v>
      </c>
      <c r="I615" s="57">
        <v>125</v>
      </c>
      <c r="J615" s="58">
        <v>49218.232499999998</v>
      </c>
      <c r="K615" s="55">
        <f t="shared" si="36"/>
        <v>0.84999999999999987</v>
      </c>
      <c r="L615" s="56">
        <f t="shared" si="37"/>
        <v>0.84999999999999987</v>
      </c>
      <c r="M615" s="56" t="str">
        <f t="shared" si="38"/>
        <v/>
      </c>
      <c r="N615" s="56" t="str">
        <f t="shared" si="39"/>
        <v>OK</v>
      </c>
      <c r="O615" s="2"/>
      <c r="P615" s="27"/>
      <c r="Q615" s="2"/>
      <c r="R615" s="2"/>
    </row>
    <row r="616" spans="1:18" x14ac:dyDescent="0.35">
      <c r="A616" s="53">
        <v>175</v>
      </c>
      <c r="B616" s="53" t="s">
        <v>13</v>
      </c>
      <c r="C616" s="53" t="s">
        <v>32</v>
      </c>
      <c r="D616" s="53" t="s">
        <v>18</v>
      </c>
      <c r="E616" s="53" t="s">
        <v>25</v>
      </c>
      <c r="F616" s="54">
        <v>31927.360000000001</v>
      </c>
      <c r="G616" s="53">
        <v>275976</v>
      </c>
      <c r="H616" s="53">
        <v>3355</v>
      </c>
      <c r="I616" s="53">
        <v>930</v>
      </c>
      <c r="J616" s="54">
        <v>59065.616000000002</v>
      </c>
      <c r="K616" s="55">
        <f t="shared" si="36"/>
        <v>0.85</v>
      </c>
      <c r="L616" s="56">
        <f t="shared" si="37"/>
        <v>0.85</v>
      </c>
      <c r="M616" s="56" t="str">
        <f t="shared" si="38"/>
        <v/>
      </c>
      <c r="N616" s="56" t="str">
        <f t="shared" si="39"/>
        <v>OK</v>
      </c>
      <c r="O616" s="2"/>
      <c r="P616" s="27"/>
      <c r="Q616" s="2"/>
      <c r="R616" s="2"/>
    </row>
    <row r="617" spans="1:18" x14ac:dyDescent="0.35">
      <c r="A617" s="53">
        <v>281</v>
      </c>
      <c r="B617" s="53" t="s">
        <v>12</v>
      </c>
      <c r="C617" s="53" t="s">
        <v>32</v>
      </c>
      <c r="D617" s="53" t="s">
        <v>22</v>
      </c>
      <c r="E617" s="53" t="s">
        <v>25</v>
      </c>
      <c r="F617" s="54">
        <v>22612.54</v>
      </c>
      <c r="G617" s="53">
        <v>749804</v>
      </c>
      <c r="H617" s="53">
        <v>8180</v>
      </c>
      <c r="I617" s="53">
        <v>1311</v>
      </c>
      <c r="J617" s="54">
        <v>41833.199000000001</v>
      </c>
      <c r="K617" s="55">
        <f t="shared" si="36"/>
        <v>0.85</v>
      </c>
      <c r="L617" s="56">
        <f t="shared" si="37"/>
        <v>0.85</v>
      </c>
      <c r="M617" s="56" t="str">
        <f t="shared" si="38"/>
        <v/>
      </c>
      <c r="N617" s="56" t="str">
        <f t="shared" si="39"/>
        <v>OK</v>
      </c>
      <c r="O617" s="2"/>
      <c r="P617" s="27"/>
      <c r="Q617" s="2"/>
      <c r="R617" s="2"/>
    </row>
    <row r="618" spans="1:18" x14ac:dyDescent="0.35">
      <c r="A618" s="57">
        <v>594</v>
      </c>
      <c r="B618" s="57" t="s">
        <v>12</v>
      </c>
      <c r="C618" s="57" t="s">
        <v>32</v>
      </c>
      <c r="D618" s="57" t="s">
        <v>19</v>
      </c>
      <c r="E618" s="57" t="s">
        <v>25</v>
      </c>
      <c r="F618" s="58">
        <v>5961.74</v>
      </c>
      <c r="G618" s="57">
        <v>339231</v>
      </c>
      <c r="H618" s="57">
        <v>13236</v>
      </c>
      <c r="I618" s="57">
        <v>94</v>
      </c>
      <c r="J618" s="58">
        <v>11029.218999999999</v>
      </c>
      <c r="K618" s="55">
        <f t="shared" si="36"/>
        <v>0.85</v>
      </c>
      <c r="L618" s="56">
        <f t="shared" si="37"/>
        <v>0.85</v>
      </c>
      <c r="M618" s="56" t="str">
        <f t="shared" si="38"/>
        <v/>
      </c>
      <c r="N618" s="56" t="str">
        <f t="shared" si="39"/>
        <v>OK</v>
      </c>
      <c r="O618" s="2"/>
      <c r="P618" s="27"/>
      <c r="Q618" s="2"/>
      <c r="R618" s="2"/>
    </row>
    <row r="619" spans="1:18" x14ac:dyDescent="0.35">
      <c r="A619" s="53">
        <v>191</v>
      </c>
      <c r="B619" s="53" t="s">
        <v>8</v>
      </c>
      <c r="C619" s="53" t="s">
        <v>31</v>
      </c>
      <c r="D619" s="53" t="s">
        <v>22</v>
      </c>
      <c r="E619" s="53" t="s">
        <v>24</v>
      </c>
      <c r="F619" s="54">
        <v>14510.27</v>
      </c>
      <c r="G619" s="53">
        <v>425534</v>
      </c>
      <c r="H619" s="53">
        <v>17459</v>
      </c>
      <c r="I619" s="53">
        <v>509</v>
      </c>
      <c r="J619" s="54">
        <v>26843.999500000002</v>
      </c>
      <c r="K619" s="55">
        <f t="shared" si="36"/>
        <v>0.85000000000000009</v>
      </c>
      <c r="L619" s="56" t="str">
        <f t="shared" si="37"/>
        <v/>
      </c>
      <c r="M619" s="56">
        <f t="shared" si="38"/>
        <v>0.85000000000000009</v>
      </c>
      <c r="N619" s="56" t="str">
        <f t="shared" si="39"/>
        <v>OK</v>
      </c>
      <c r="O619" s="2"/>
      <c r="P619" s="27"/>
      <c r="Q619" s="2"/>
      <c r="R619" s="2"/>
    </row>
    <row r="620" spans="1:18" x14ac:dyDescent="0.35">
      <c r="A620" s="57">
        <v>298</v>
      </c>
      <c r="B620" s="57" t="s">
        <v>8</v>
      </c>
      <c r="C620" s="57" t="s">
        <v>31</v>
      </c>
      <c r="D620" s="57" t="s">
        <v>18</v>
      </c>
      <c r="E620" s="57" t="s">
        <v>24</v>
      </c>
      <c r="F620" s="58">
        <v>44962.13</v>
      </c>
      <c r="G620" s="57">
        <v>939616</v>
      </c>
      <c r="H620" s="57">
        <v>6687</v>
      </c>
      <c r="I620" s="57">
        <v>608</v>
      </c>
      <c r="J620" s="58">
        <v>83179.940499999997</v>
      </c>
      <c r="K620" s="55">
        <f t="shared" si="36"/>
        <v>0.85000000000000009</v>
      </c>
      <c r="L620" s="56" t="str">
        <f t="shared" si="37"/>
        <v/>
      </c>
      <c r="M620" s="56">
        <f t="shared" si="38"/>
        <v>0.85000000000000009</v>
      </c>
      <c r="N620" s="56" t="str">
        <f t="shared" si="39"/>
        <v>OK</v>
      </c>
      <c r="O620" s="2"/>
      <c r="P620" s="27"/>
      <c r="Q620" s="2"/>
      <c r="R620" s="2"/>
    </row>
    <row r="621" spans="1:18" x14ac:dyDescent="0.35">
      <c r="A621" s="53">
        <v>429</v>
      </c>
      <c r="B621" s="53" t="s">
        <v>11</v>
      </c>
      <c r="C621" s="53" t="s">
        <v>32</v>
      </c>
      <c r="D621" s="53" t="s">
        <v>19</v>
      </c>
      <c r="E621" s="53" t="s">
        <v>26</v>
      </c>
      <c r="F621" s="54">
        <v>27034.51</v>
      </c>
      <c r="G621" s="53">
        <v>720205</v>
      </c>
      <c r="H621" s="53">
        <v>9024</v>
      </c>
      <c r="I621" s="53">
        <v>1169</v>
      </c>
      <c r="J621" s="54">
        <v>50013.843500000003</v>
      </c>
      <c r="K621" s="55">
        <f t="shared" si="36"/>
        <v>0.8500000000000002</v>
      </c>
      <c r="L621" s="56">
        <f t="shared" si="37"/>
        <v>0.8500000000000002</v>
      </c>
      <c r="M621" s="56" t="str">
        <f t="shared" si="38"/>
        <v/>
      </c>
      <c r="N621" s="56" t="str">
        <f t="shared" si="39"/>
        <v>OK</v>
      </c>
      <c r="O621" s="2"/>
      <c r="P621" s="27"/>
      <c r="Q621" s="2"/>
      <c r="R621" s="2"/>
    </row>
    <row r="622" spans="1:18" x14ac:dyDescent="0.35">
      <c r="A622" s="57">
        <v>664</v>
      </c>
      <c r="B622" s="57" t="s">
        <v>10</v>
      </c>
      <c r="C622" s="57" t="s">
        <v>31</v>
      </c>
      <c r="D622" s="57" t="s">
        <v>19</v>
      </c>
      <c r="E622" s="57" t="s">
        <v>25</v>
      </c>
      <c r="F622" s="58">
        <v>18319.580000000002</v>
      </c>
      <c r="G622" s="57">
        <v>706454</v>
      </c>
      <c r="H622" s="57">
        <v>3954</v>
      </c>
      <c r="I622" s="57">
        <v>143</v>
      </c>
      <c r="J622" s="58">
        <v>34074.418799999999</v>
      </c>
      <c r="K622" s="55">
        <f t="shared" si="36"/>
        <v>0.85999999999999976</v>
      </c>
      <c r="L622" s="56" t="str">
        <f t="shared" si="37"/>
        <v/>
      </c>
      <c r="M622" s="56">
        <f t="shared" si="38"/>
        <v>0.85999999999999976</v>
      </c>
      <c r="N622" s="56" t="str">
        <f t="shared" si="39"/>
        <v>OK</v>
      </c>
      <c r="O622" s="2"/>
      <c r="P622" s="27"/>
      <c r="Q622" s="2"/>
      <c r="R622" s="2"/>
    </row>
    <row r="623" spans="1:18" x14ac:dyDescent="0.35">
      <c r="A623" s="53">
        <v>871</v>
      </c>
      <c r="B623" s="53" t="s">
        <v>15</v>
      </c>
      <c r="C623" s="53" t="s">
        <v>32</v>
      </c>
      <c r="D623" s="53" t="s">
        <v>17</v>
      </c>
      <c r="E623" s="53" t="s">
        <v>27</v>
      </c>
      <c r="F623" s="54">
        <v>5893.47</v>
      </c>
      <c r="G623" s="53">
        <v>436488</v>
      </c>
      <c r="H623" s="53">
        <v>3278</v>
      </c>
      <c r="I623" s="53">
        <v>476</v>
      </c>
      <c r="J623" s="54">
        <v>10961.8542</v>
      </c>
      <c r="K623" s="55">
        <f t="shared" si="36"/>
        <v>0.85999999999999988</v>
      </c>
      <c r="L623" s="56">
        <f t="shared" si="37"/>
        <v>0.85999999999999988</v>
      </c>
      <c r="M623" s="56" t="str">
        <f t="shared" si="38"/>
        <v/>
      </c>
      <c r="N623" s="56" t="str">
        <f t="shared" si="39"/>
        <v>OK</v>
      </c>
      <c r="O623" s="2"/>
      <c r="P623" s="27"/>
      <c r="Q623" s="2"/>
      <c r="R623" s="2"/>
    </row>
    <row r="624" spans="1:18" x14ac:dyDescent="0.35">
      <c r="A624" s="57">
        <v>72</v>
      </c>
      <c r="B624" s="57" t="s">
        <v>14</v>
      </c>
      <c r="C624" s="57" t="s">
        <v>32</v>
      </c>
      <c r="D624" s="57" t="s">
        <v>18</v>
      </c>
      <c r="E624" s="57" t="s">
        <v>25</v>
      </c>
      <c r="F624" s="58">
        <v>29281.47</v>
      </c>
      <c r="G624" s="57">
        <v>783210</v>
      </c>
      <c r="H624" s="57">
        <v>2478</v>
      </c>
      <c r="I624" s="57">
        <v>1474</v>
      </c>
      <c r="J624" s="58">
        <v>54463.534200000002</v>
      </c>
      <c r="K624" s="55">
        <f t="shared" si="36"/>
        <v>0.86</v>
      </c>
      <c r="L624" s="56">
        <f t="shared" si="37"/>
        <v>0.86</v>
      </c>
      <c r="M624" s="56" t="str">
        <f t="shared" si="38"/>
        <v/>
      </c>
      <c r="N624" s="56" t="str">
        <f t="shared" si="39"/>
        <v>OK</v>
      </c>
      <c r="O624" s="2"/>
      <c r="P624" s="27"/>
      <c r="Q624" s="2"/>
      <c r="R624" s="2"/>
    </row>
    <row r="625" spans="1:18" x14ac:dyDescent="0.35">
      <c r="A625" s="53">
        <v>505</v>
      </c>
      <c r="B625" s="53" t="s">
        <v>8</v>
      </c>
      <c r="C625" s="53" t="s">
        <v>31</v>
      </c>
      <c r="D625" s="53" t="s">
        <v>21</v>
      </c>
      <c r="E625" s="53" t="s">
        <v>26</v>
      </c>
      <c r="F625" s="54">
        <v>23079.25</v>
      </c>
      <c r="G625" s="53">
        <v>483048</v>
      </c>
      <c r="H625" s="53">
        <v>12821</v>
      </c>
      <c r="I625" s="53">
        <v>913</v>
      </c>
      <c r="J625" s="54">
        <v>42927.404999999999</v>
      </c>
      <c r="K625" s="55">
        <f t="shared" si="36"/>
        <v>0.86</v>
      </c>
      <c r="L625" s="56" t="str">
        <f t="shared" si="37"/>
        <v/>
      </c>
      <c r="M625" s="56">
        <f t="shared" si="38"/>
        <v>0.86</v>
      </c>
      <c r="N625" s="56" t="str">
        <f t="shared" si="39"/>
        <v>OK</v>
      </c>
      <c r="O625" s="2"/>
      <c r="P625" s="27"/>
      <c r="Q625" s="2"/>
      <c r="R625" s="2"/>
    </row>
    <row r="626" spans="1:18" x14ac:dyDescent="0.35">
      <c r="A626" s="53">
        <v>395</v>
      </c>
      <c r="B626" s="53" t="s">
        <v>9</v>
      </c>
      <c r="C626" s="53" t="s">
        <v>31</v>
      </c>
      <c r="D626" s="53" t="s">
        <v>19</v>
      </c>
      <c r="E626" s="53" t="s">
        <v>26</v>
      </c>
      <c r="F626" s="54">
        <v>2331.58</v>
      </c>
      <c r="G626" s="53">
        <v>652927</v>
      </c>
      <c r="H626" s="53">
        <v>18131</v>
      </c>
      <c r="I626" s="53">
        <v>1476</v>
      </c>
      <c r="J626" s="54">
        <v>4336.7388000000001</v>
      </c>
      <c r="K626" s="55">
        <f t="shared" si="36"/>
        <v>0.8600000000000001</v>
      </c>
      <c r="L626" s="56" t="str">
        <f t="shared" si="37"/>
        <v/>
      </c>
      <c r="M626" s="56">
        <f t="shared" si="38"/>
        <v>0.8600000000000001</v>
      </c>
      <c r="N626" s="56" t="str">
        <f t="shared" si="39"/>
        <v>OK</v>
      </c>
      <c r="O626" s="2"/>
      <c r="P626" s="27"/>
      <c r="Q626" s="2"/>
      <c r="R626" s="2"/>
    </row>
    <row r="627" spans="1:18" x14ac:dyDescent="0.35">
      <c r="A627" s="57">
        <v>480</v>
      </c>
      <c r="B627" s="57" t="s">
        <v>12</v>
      </c>
      <c r="C627" s="57" t="s">
        <v>32</v>
      </c>
      <c r="D627" s="57" t="s">
        <v>18</v>
      </c>
      <c r="E627" s="57" t="s">
        <v>24</v>
      </c>
      <c r="F627" s="58">
        <v>24017.439999999999</v>
      </c>
      <c r="G627" s="57">
        <v>302253</v>
      </c>
      <c r="H627" s="57">
        <v>3458</v>
      </c>
      <c r="I627" s="57">
        <v>1879</v>
      </c>
      <c r="J627" s="58">
        <v>44672.438399999999</v>
      </c>
      <c r="K627" s="55">
        <f t="shared" si="36"/>
        <v>0.8600000000000001</v>
      </c>
      <c r="L627" s="56">
        <f t="shared" si="37"/>
        <v>0.8600000000000001</v>
      </c>
      <c r="M627" s="56" t="str">
        <f t="shared" si="38"/>
        <v/>
      </c>
      <c r="N627" s="56" t="str">
        <f t="shared" si="39"/>
        <v>OK</v>
      </c>
      <c r="O627" s="2"/>
      <c r="P627" s="27"/>
      <c r="Q627" s="2"/>
      <c r="R627" s="2"/>
    </row>
    <row r="628" spans="1:18" x14ac:dyDescent="0.35">
      <c r="A628" s="53">
        <v>257</v>
      </c>
      <c r="B628" s="53" t="s">
        <v>8</v>
      </c>
      <c r="C628" s="53" t="s">
        <v>31</v>
      </c>
      <c r="D628" s="53" t="s">
        <v>22</v>
      </c>
      <c r="E628" s="53" t="s">
        <v>29</v>
      </c>
      <c r="F628" s="54">
        <v>17649.099999999999</v>
      </c>
      <c r="G628" s="53">
        <v>611891</v>
      </c>
      <c r="H628" s="53">
        <v>10435</v>
      </c>
      <c r="I628" s="53">
        <v>1879</v>
      </c>
      <c r="J628" s="54">
        <v>32827.326000000001</v>
      </c>
      <c r="K628" s="55">
        <f t="shared" si="36"/>
        <v>0.86000000000000021</v>
      </c>
      <c r="L628" s="56" t="str">
        <f t="shared" si="37"/>
        <v/>
      </c>
      <c r="M628" s="56">
        <f t="shared" si="38"/>
        <v>0.86000000000000021</v>
      </c>
      <c r="N628" s="56" t="str">
        <f t="shared" si="39"/>
        <v>OK</v>
      </c>
      <c r="O628" s="2"/>
      <c r="P628" s="27"/>
      <c r="Q628" s="2"/>
      <c r="R628" s="2"/>
    </row>
    <row r="629" spans="1:18" x14ac:dyDescent="0.35">
      <c r="A629" s="53">
        <v>839</v>
      </c>
      <c r="B629" s="53" t="s">
        <v>12</v>
      </c>
      <c r="C629" s="53" t="s">
        <v>32</v>
      </c>
      <c r="D629" s="53" t="s">
        <v>21</v>
      </c>
      <c r="E629" s="53" t="s">
        <v>25</v>
      </c>
      <c r="F629" s="54">
        <v>24322.42</v>
      </c>
      <c r="G629" s="53">
        <v>665129</v>
      </c>
      <c r="H629" s="53">
        <v>17795</v>
      </c>
      <c r="I629" s="53">
        <v>603</v>
      </c>
      <c r="J629" s="54">
        <v>45239.701200000003</v>
      </c>
      <c r="K629" s="55">
        <f t="shared" si="36"/>
        <v>0.86000000000000021</v>
      </c>
      <c r="L629" s="56">
        <f t="shared" si="37"/>
        <v>0.86000000000000021</v>
      </c>
      <c r="M629" s="56" t="str">
        <f t="shared" si="38"/>
        <v/>
      </c>
      <c r="N629" s="56" t="str">
        <f t="shared" si="39"/>
        <v>OK</v>
      </c>
      <c r="O629" s="2"/>
      <c r="P629" s="27"/>
      <c r="Q629" s="2"/>
      <c r="R629" s="2"/>
    </row>
    <row r="630" spans="1:18" x14ac:dyDescent="0.35">
      <c r="A630" s="57">
        <v>946</v>
      </c>
      <c r="B630" s="57" t="s">
        <v>8</v>
      </c>
      <c r="C630" s="57" t="s">
        <v>31</v>
      </c>
      <c r="D630" s="57" t="s">
        <v>18</v>
      </c>
      <c r="E630" s="57" t="s">
        <v>29</v>
      </c>
      <c r="F630" s="58">
        <v>36524.080000000002</v>
      </c>
      <c r="G630" s="57">
        <v>183311</v>
      </c>
      <c r="H630" s="57">
        <v>4081</v>
      </c>
      <c r="I630" s="57">
        <v>396</v>
      </c>
      <c r="J630" s="58">
        <v>68300.029599999994</v>
      </c>
      <c r="K630" s="55">
        <f t="shared" si="36"/>
        <v>0.86999999999999977</v>
      </c>
      <c r="L630" s="56" t="str">
        <f t="shared" si="37"/>
        <v/>
      </c>
      <c r="M630" s="56">
        <f t="shared" si="38"/>
        <v>0.86999999999999977</v>
      </c>
      <c r="N630" s="56" t="str">
        <f t="shared" si="39"/>
        <v>OK</v>
      </c>
      <c r="O630" s="2"/>
      <c r="P630" s="27"/>
      <c r="Q630" s="2"/>
      <c r="R630" s="2"/>
    </row>
    <row r="631" spans="1:18" x14ac:dyDescent="0.35">
      <c r="A631" s="53">
        <v>179</v>
      </c>
      <c r="B631" s="53" t="s">
        <v>11</v>
      </c>
      <c r="C631" s="53" t="s">
        <v>32</v>
      </c>
      <c r="D631" s="53" t="s">
        <v>22</v>
      </c>
      <c r="E631" s="53" t="s">
        <v>27</v>
      </c>
      <c r="F631" s="54">
        <v>39230.44</v>
      </c>
      <c r="G631" s="53">
        <v>830580</v>
      </c>
      <c r="H631" s="53">
        <v>18341</v>
      </c>
      <c r="I631" s="53">
        <v>874</v>
      </c>
      <c r="J631" s="54">
        <v>73360.9228</v>
      </c>
      <c r="K631" s="55">
        <f t="shared" si="36"/>
        <v>0.86999999999999988</v>
      </c>
      <c r="L631" s="56">
        <f t="shared" si="37"/>
        <v>0.86999999999999988</v>
      </c>
      <c r="M631" s="56" t="str">
        <f t="shared" si="38"/>
        <v/>
      </c>
      <c r="N631" s="56" t="str">
        <f t="shared" si="39"/>
        <v>OK</v>
      </c>
      <c r="O631" s="2"/>
      <c r="P631" s="27"/>
      <c r="Q631" s="2"/>
      <c r="R631" s="2"/>
    </row>
    <row r="632" spans="1:18" x14ac:dyDescent="0.35">
      <c r="A632" s="53">
        <v>951</v>
      </c>
      <c r="B632" s="53" t="s">
        <v>9</v>
      </c>
      <c r="C632" s="53" t="s">
        <v>31</v>
      </c>
      <c r="D632" s="53" t="s">
        <v>20</v>
      </c>
      <c r="E632" s="53" t="s">
        <v>28</v>
      </c>
      <c r="F632" s="54">
        <v>46599.73</v>
      </c>
      <c r="G632" s="53">
        <v>230283</v>
      </c>
      <c r="H632" s="53">
        <v>13831</v>
      </c>
      <c r="I632" s="53">
        <v>292</v>
      </c>
      <c r="J632" s="54">
        <v>87141.4951</v>
      </c>
      <c r="K632" s="55">
        <f t="shared" si="36"/>
        <v>0.86999999999999988</v>
      </c>
      <c r="L632" s="56" t="str">
        <f t="shared" si="37"/>
        <v/>
      </c>
      <c r="M632" s="56">
        <f t="shared" si="38"/>
        <v>0.86999999999999988</v>
      </c>
      <c r="N632" s="56" t="str">
        <f t="shared" si="39"/>
        <v>OK</v>
      </c>
      <c r="O632" s="2"/>
      <c r="P632" s="27"/>
      <c r="Q632" s="2"/>
      <c r="R632" s="2"/>
    </row>
    <row r="633" spans="1:18" x14ac:dyDescent="0.35">
      <c r="A633" s="57">
        <v>6</v>
      </c>
      <c r="B633" s="57" t="s">
        <v>13</v>
      </c>
      <c r="C633" s="57" t="s">
        <v>32</v>
      </c>
      <c r="D633" s="57" t="s">
        <v>19</v>
      </c>
      <c r="E633" s="57" t="s">
        <v>27</v>
      </c>
      <c r="F633" s="58">
        <v>45046.14</v>
      </c>
      <c r="G633" s="57">
        <v>898403</v>
      </c>
      <c r="H633" s="57">
        <v>17099</v>
      </c>
      <c r="I633" s="57">
        <v>1442</v>
      </c>
      <c r="J633" s="58">
        <v>84236.281799999997</v>
      </c>
      <c r="K633" s="55">
        <f t="shared" si="36"/>
        <v>0.87</v>
      </c>
      <c r="L633" s="56">
        <f t="shared" si="37"/>
        <v>0.87</v>
      </c>
      <c r="M633" s="56" t="str">
        <f t="shared" si="38"/>
        <v/>
      </c>
      <c r="N633" s="56" t="str">
        <f t="shared" si="39"/>
        <v>OK</v>
      </c>
      <c r="O633" s="2"/>
      <c r="P633" s="27"/>
      <c r="Q633" s="2"/>
      <c r="R633" s="2"/>
    </row>
    <row r="634" spans="1:18" x14ac:dyDescent="0.35">
      <c r="A634" s="57">
        <v>514</v>
      </c>
      <c r="B634" s="57" t="s">
        <v>10</v>
      </c>
      <c r="C634" s="57" t="s">
        <v>31</v>
      </c>
      <c r="D634" s="57" t="s">
        <v>17</v>
      </c>
      <c r="E634" s="57" t="s">
        <v>24</v>
      </c>
      <c r="F634" s="58">
        <v>15539.65</v>
      </c>
      <c r="G634" s="57">
        <v>371719</v>
      </c>
      <c r="H634" s="57">
        <v>13372</v>
      </c>
      <c r="I634" s="57">
        <v>1570</v>
      </c>
      <c r="J634" s="58">
        <v>29059.145499999999</v>
      </c>
      <c r="K634" s="55">
        <f t="shared" si="36"/>
        <v>0.87</v>
      </c>
      <c r="L634" s="56" t="str">
        <f t="shared" si="37"/>
        <v/>
      </c>
      <c r="M634" s="56">
        <f t="shared" si="38"/>
        <v>0.87</v>
      </c>
      <c r="N634" s="56" t="str">
        <f t="shared" si="39"/>
        <v>OK</v>
      </c>
      <c r="O634" s="2"/>
      <c r="P634" s="27"/>
      <c r="Q634" s="2"/>
      <c r="R634" s="2"/>
    </row>
    <row r="635" spans="1:18" x14ac:dyDescent="0.35">
      <c r="A635" s="57">
        <v>516</v>
      </c>
      <c r="B635" s="57" t="s">
        <v>9</v>
      </c>
      <c r="C635" s="57" t="s">
        <v>31</v>
      </c>
      <c r="D635" s="57" t="s">
        <v>18</v>
      </c>
      <c r="E635" s="57" t="s">
        <v>27</v>
      </c>
      <c r="F635" s="58">
        <v>47747.62</v>
      </c>
      <c r="G635" s="57">
        <v>889459</v>
      </c>
      <c r="H635" s="57">
        <v>727</v>
      </c>
      <c r="I635" s="57">
        <v>1151</v>
      </c>
      <c r="J635" s="58">
        <v>89288.049400000004</v>
      </c>
      <c r="K635" s="55">
        <f t="shared" si="36"/>
        <v>0.87</v>
      </c>
      <c r="L635" s="56" t="str">
        <f t="shared" si="37"/>
        <v/>
      </c>
      <c r="M635" s="56">
        <f t="shared" si="38"/>
        <v>0.87</v>
      </c>
      <c r="N635" s="56" t="str">
        <f t="shared" si="39"/>
        <v>ERROR: Conversions &gt; Clicks</v>
      </c>
      <c r="O635" s="2"/>
      <c r="P635" s="27"/>
      <c r="Q635" s="2"/>
      <c r="R635" s="2"/>
    </row>
    <row r="636" spans="1:18" x14ac:dyDescent="0.35">
      <c r="A636" s="53">
        <v>531</v>
      </c>
      <c r="B636" s="53" t="s">
        <v>11</v>
      </c>
      <c r="C636" s="53" t="s">
        <v>32</v>
      </c>
      <c r="D636" s="53" t="s">
        <v>22</v>
      </c>
      <c r="E636" s="53" t="s">
        <v>24</v>
      </c>
      <c r="F636" s="54">
        <v>45115.74</v>
      </c>
      <c r="G636" s="53">
        <v>480435</v>
      </c>
      <c r="H636" s="53">
        <v>7379</v>
      </c>
      <c r="I636" s="53">
        <v>1472</v>
      </c>
      <c r="J636" s="54">
        <v>84366.433799999999</v>
      </c>
      <c r="K636" s="55">
        <f t="shared" si="36"/>
        <v>0.87000000000000011</v>
      </c>
      <c r="L636" s="56">
        <f t="shared" si="37"/>
        <v>0.87000000000000011</v>
      </c>
      <c r="M636" s="56" t="str">
        <f t="shared" si="38"/>
        <v/>
      </c>
      <c r="N636" s="56" t="str">
        <f t="shared" si="39"/>
        <v>OK</v>
      </c>
      <c r="O636" s="2"/>
      <c r="P636" s="27"/>
      <c r="Q636" s="2"/>
      <c r="R636" s="2"/>
    </row>
    <row r="637" spans="1:18" x14ac:dyDescent="0.35">
      <c r="A637" s="57">
        <v>842</v>
      </c>
      <c r="B637" s="57" t="s">
        <v>13</v>
      </c>
      <c r="C637" s="57" t="s">
        <v>32</v>
      </c>
      <c r="D637" s="57" t="s">
        <v>17</v>
      </c>
      <c r="E637" s="57" t="s">
        <v>29</v>
      </c>
      <c r="F637" s="58">
        <v>38768.25</v>
      </c>
      <c r="G637" s="57">
        <v>932630</v>
      </c>
      <c r="H637" s="57">
        <v>18357</v>
      </c>
      <c r="I637" s="57">
        <v>861</v>
      </c>
      <c r="J637" s="58">
        <v>72496.627500000002</v>
      </c>
      <c r="K637" s="55">
        <f t="shared" si="36"/>
        <v>0.87000000000000011</v>
      </c>
      <c r="L637" s="56">
        <f t="shared" si="37"/>
        <v>0.87000000000000011</v>
      </c>
      <c r="M637" s="56" t="str">
        <f t="shared" si="38"/>
        <v/>
      </c>
      <c r="N637" s="56" t="str">
        <f t="shared" si="39"/>
        <v>OK</v>
      </c>
      <c r="O637" s="2"/>
      <c r="P637" s="27"/>
      <c r="Q637" s="2"/>
      <c r="R637" s="2"/>
    </row>
    <row r="638" spans="1:18" x14ac:dyDescent="0.35">
      <c r="A638" s="57">
        <v>504</v>
      </c>
      <c r="B638" s="57" t="s">
        <v>13</v>
      </c>
      <c r="C638" s="57" t="s">
        <v>32</v>
      </c>
      <c r="D638" s="57" t="s">
        <v>18</v>
      </c>
      <c r="E638" s="57" t="s">
        <v>27</v>
      </c>
      <c r="F638" s="58">
        <v>3197.82</v>
      </c>
      <c r="G638" s="57">
        <v>838569</v>
      </c>
      <c r="H638" s="57">
        <v>18882</v>
      </c>
      <c r="I638" s="57">
        <v>931</v>
      </c>
      <c r="J638" s="58">
        <v>6011.9016000000001</v>
      </c>
      <c r="K638" s="55">
        <f t="shared" si="36"/>
        <v>0.87999999999999989</v>
      </c>
      <c r="L638" s="56">
        <f t="shared" si="37"/>
        <v>0.87999999999999989</v>
      </c>
      <c r="M638" s="56" t="str">
        <f t="shared" si="38"/>
        <v/>
      </c>
      <c r="N638" s="56" t="str">
        <f t="shared" si="39"/>
        <v>OK</v>
      </c>
      <c r="O638" s="2"/>
      <c r="P638" s="27"/>
      <c r="Q638" s="2"/>
      <c r="R638" s="2"/>
    </row>
    <row r="639" spans="1:18" x14ac:dyDescent="0.35">
      <c r="A639" s="57">
        <v>180</v>
      </c>
      <c r="B639" s="57" t="s">
        <v>9</v>
      </c>
      <c r="C639" s="57" t="s">
        <v>31</v>
      </c>
      <c r="D639" s="57" t="s">
        <v>22</v>
      </c>
      <c r="E639" s="57" t="s">
        <v>28</v>
      </c>
      <c r="F639" s="58">
        <v>1344.43</v>
      </c>
      <c r="G639" s="57">
        <v>988744</v>
      </c>
      <c r="H639" s="57">
        <v>19273</v>
      </c>
      <c r="I639" s="57">
        <v>1197</v>
      </c>
      <c r="J639" s="58">
        <v>2527.5284000000001</v>
      </c>
      <c r="K639" s="55">
        <f t="shared" si="36"/>
        <v>0.88</v>
      </c>
      <c r="L639" s="56" t="str">
        <f t="shared" si="37"/>
        <v/>
      </c>
      <c r="M639" s="56">
        <f t="shared" si="38"/>
        <v>0.88</v>
      </c>
      <c r="N639" s="56" t="str">
        <f t="shared" si="39"/>
        <v>OK</v>
      </c>
      <c r="O639" s="2"/>
      <c r="P639" s="27"/>
      <c r="Q639" s="2"/>
      <c r="R639" s="2"/>
    </row>
    <row r="640" spans="1:18" x14ac:dyDescent="0.35">
      <c r="A640" s="53">
        <v>615</v>
      </c>
      <c r="B640" s="53" t="s">
        <v>10</v>
      </c>
      <c r="C640" s="53" t="s">
        <v>31</v>
      </c>
      <c r="D640" s="53" t="s">
        <v>20</v>
      </c>
      <c r="E640" s="53" t="s">
        <v>24</v>
      </c>
      <c r="F640" s="54">
        <v>7372.34</v>
      </c>
      <c r="G640" s="53">
        <v>485738</v>
      </c>
      <c r="H640" s="53">
        <v>4585</v>
      </c>
      <c r="I640" s="53">
        <v>1496</v>
      </c>
      <c r="J640" s="54">
        <v>13859.9992</v>
      </c>
      <c r="K640" s="55">
        <f t="shared" si="36"/>
        <v>0.88</v>
      </c>
      <c r="L640" s="56" t="str">
        <f t="shared" si="37"/>
        <v/>
      </c>
      <c r="M640" s="56">
        <f t="shared" si="38"/>
        <v>0.88</v>
      </c>
      <c r="N640" s="56" t="str">
        <f t="shared" si="39"/>
        <v>OK</v>
      </c>
      <c r="O640" s="2"/>
      <c r="P640" s="27"/>
      <c r="Q640" s="2"/>
      <c r="R640" s="2"/>
    </row>
    <row r="641" spans="1:18" x14ac:dyDescent="0.35">
      <c r="A641" s="53">
        <v>797</v>
      </c>
      <c r="B641" s="53" t="s">
        <v>15</v>
      </c>
      <c r="C641" s="53" t="s">
        <v>32</v>
      </c>
      <c r="D641" s="53" t="s">
        <v>17</v>
      </c>
      <c r="E641" s="53" t="s">
        <v>27</v>
      </c>
      <c r="F641" s="54">
        <v>36036.9</v>
      </c>
      <c r="G641" s="53">
        <v>974725</v>
      </c>
      <c r="H641" s="53">
        <v>16573</v>
      </c>
      <c r="I641" s="53">
        <v>558</v>
      </c>
      <c r="J641" s="54">
        <v>67749.372000000003</v>
      </c>
      <c r="K641" s="55">
        <f t="shared" si="36"/>
        <v>0.88</v>
      </c>
      <c r="L641" s="56">
        <f t="shared" si="37"/>
        <v>0.88</v>
      </c>
      <c r="M641" s="56" t="str">
        <f t="shared" si="38"/>
        <v/>
      </c>
      <c r="N641" s="56" t="str">
        <f t="shared" si="39"/>
        <v>OK</v>
      </c>
      <c r="O641" s="2"/>
      <c r="P641" s="27"/>
      <c r="Q641" s="2"/>
      <c r="R641" s="2"/>
    </row>
    <row r="642" spans="1:18" x14ac:dyDescent="0.35">
      <c r="A642" s="57">
        <v>532</v>
      </c>
      <c r="B642" s="57" t="s">
        <v>13</v>
      </c>
      <c r="C642" s="57" t="s">
        <v>32</v>
      </c>
      <c r="D642" s="57" t="s">
        <v>19</v>
      </c>
      <c r="E642" s="57" t="s">
        <v>28</v>
      </c>
      <c r="F642" s="58">
        <v>20807.75</v>
      </c>
      <c r="G642" s="57">
        <v>611160</v>
      </c>
      <c r="H642" s="57">
        <v>8762</v>
      </c>
      <c r="I642" s="57">
        <v>1748</v>
      </c>
      <c r="J642" s="58">
        <v>39326.647499999999</v>
      </c>
      <c r="K642" s="55">
        <f t="shared" ref="K642:K705" si="40">(J642-F642)/F642</f>
        <v>0.89</v>
      </c>
      <c r="L642" s="56">
        <f t="shared" ref="L642:L705" si="41">IF(C642="Digital",K642,"")</f>
        <v>0.89</v>
      </c>
      <c r="M642" s="56" t="str">
        <f t="shared" ref="M642:M705" si="42">IF(C642="Traditional",K642,"")</f>
        <v/>
      </c>
      <c r="N642" s="56" t="str">
        <f t="shared" ref="N642:N705" si="43">IF(H642&gt;G642,"ERROR: Clicks &gt; Impressions",IF(I642&gt;H642,"ERROR: Conversions &gt; Clicks","OK"))</f>
        <v>OK</v>
      </c>
      <c r="O642" s="2"/>
      <c r="P642" s="27"/>
      <c r="Q642" s="2"/>
      <c r="R642" s="2"/>
    </row>
    <row r="643" spans="1:18" x14ac:dyDescent="0.35">
      <c r="A643" s="57">
        <v>750</v>
      </c>
      <c r="B643" s="57" t="s">
        <v>14</v>
      </c>
      <c r="C643" s="57" t="s">
        <v>32</v>
      </c>
      <c r="D643" s="57" t="s">
        <v>19</v>
      </c>
      <c r="E643" s="57" t="s">
        <v>29</v>
      </c>
      <c r="F643" s="58">
        <v>42261.65</v>
      </c>
      <c r="G643" s="57">
        <v>908332</v>
      </c>
      <c r="H643" s="57">
        <v>8407</v>
      </c>
      <c r="I643" s="57">
        <v>1554</v>
      </c>
      <c r="J643" s="58">
        <v>79874.518500000006</v>
      </c>
      <c r="K643" s="55">
        <f t="shared" si="40"/>
        <v>0.89</v>
      </c>
      <c r="L643" s="56">
        <f t="shared" si="41"/>
        <v>0.89</v>
      </c>
      <c r="M643" s="56" t="str">
        <f t="shared" si="42"/>
        <v/>
      </c>
      <c r="N643" s="56" t="str">
        <f t="shared" si="43"/>
        <v>OK</v>
      </c>
      <c r="O643" s="2"/>
      <c r="P643" s="27"/>
      <c r="Q643" s="2"/>
      <c r="R643" s="2"/>
    </row>
    <row r="644" spans="1:18" x14ac:dyDescent="0.35">
      <c r="A644" s="53">
        <v>869</v>
      </c>
      <c r="B644" s="53" t="s">
        <v>8</v>
      </c>
      <c r="C644" s="53" t="s">
        <v>31</v>
      </c>
      <c r="D644" s="53" t="s">
        <v>18</v>
      </c>
      <c r="E644" s="53" t="s">
        <v>25</v>
      </c>
      <c r="F644" s="54">
        <v>39318.75</v>
      </c>
      <c r="G644" s="53">
        <v>783952</v>
      </c>
      <c r="H644" s="53">
        <v>344</v>
      </c>
      <c r="I644" s="53">
        <v>1552</v>
      </c>
      <c r="J644" s="54">
        <v>74312.4375</v>
      </c>
      <c r="K644" s="55">
        <f t="shared" si="40"/>
        <v>0.89</v>
      </c>
      <c r="L644" s="56" t="str">
        <f t="shared" si="41"/>
        <v/>
      </c>
      <c r="M644" s="56">
        <f t="shared" si="42"/>
        <v>0.89</v>
      </c>
      <c r="N644" s="56" t="str">
        <f t="shared" si="43"/>
        <v>ERROR: Conversions &gt; Clicks</v>
      </c>
      <c r="O644" s="2"/>
      <c r="P644" s="27"/>
      <c r="Q644" s="2"/>
      <c r="R644" s="2"/>
    </row>
    <row r="645" spans="1:18" x14ac:dyDescent="0.35">
      <c r="A645" s="57">
        <v>794</v>
      </c>
      <c r="B645" s="57" t="s">
        <v>12</v>
      </c>
      <c r="C645" s="57" t="s">
        <v>32</v>
      </c>
      <c r="D645" s="57" t="s">
        <v>21</v>
      </c>
      <c r="E645" s="57" t="s">
        <v>25</v>
      </c>
      <c r="F645" s="58">
        <v>6034.66</v>
      </c>
      <c r="G645" s="57">
        <v>713221</v>
      </c>
      <c r="H645" s="57">
        <v>16948</v>
      </c>
      <c r="I645" s="57">
        <v>385</v>
      </c>
      <c r="J645" s="58">
        <v>11465.853999999999</v>
      </c>
      <c r="K645" s="55">
        <f t="shared" si="40"/>
        <v>0.89999999999999991</v>
      </c>
      <c r="L645" s="56">
        <f t="shared" si="41"/>
        <v>0.89999999999999991</v>
      </c>
      <c r="M645" s="56" t="str">
        <f t="shared" si="42"/>
        <v/>
      </c>
      <c r="N645" s="56" t="str">
        <f t="shared" si="43"/>
        <v>OK</v>
      </c>
      <c r="O645" s="2"/>
      <c r="P645" s="27"/>
      <c r="Q645" s="2"/>
      <c r="R645" s="2"/>
    </row>
    <row r="646" spans="1:18" x14ac:dyDescent="0.35">
      <c r="A646" s="53">
        <v>155</v>
      </c>
      <c r="B646" s="53" t="s">
        <v>15</v>
      </c>
      <c r="C646" s="53" t="s">
        <v>32</v>
      </c>
      <c r="D646" s="53" t="s">
        <v>17</v>
      </c>
      <c r="E646" s="53" t="s">
        <v>26</v>
      </c>
      <c r="F646" s="54">
        <v>47565.32</v>
      </c>
      <c r="G646" s="53">
        <v>554279</v>
      </c>
      <c r="H646" s="53">
        <v>6436</v>
      </c>
      <c r="I646" s="53">
        <v>1663</v>
      </c>
      <c r="J646" s="54">
        <v>90849.761199999994</v>
      </c>
      <c r="K646" s="55">
        <f t="shared" si="40"/>
        <v>0.90999999999999992</v>
      </c>
      <c r="L646" s="56">
        <f t="shared" si="41"/>
        <v>0.90999999999999992</v>
      </c>
      <c r="M646" s="56" t="str">
        <f t="shared" si="42"/>
        <v/>
      </c>
      <c r="N646" s="56" t="str">
        <f t="shared" si="43"/>
        <v>OK</v>
      </c>
      <c r="O646" s="2"/>
      <c r="P646" s="27"/>
      <c r="Q646" s="2"/>
      <c r="R646" s="2"/>
    </row>
    <row r="647" spans="1:18" x14ac:dyDescent="0.35">
      <c r="A647" s="53">
        <v>831</v>
      </c>
      <c r="B647" s="53" t="s">
        <v>15</v>
      </c>
      <c r="C647" s="53" t="s">
        <v>32</v>
      </c>
      <c r="D647" s="53" t="s">
        <v>20</v>
      </c>
      <c r="E647" s="53" t="s">
        <v>26</v>
      </c>
      <c r="F647" s="54">
        <v>14179.43</v>
      </c>
      <c r="G647" s="53">
        <v>571446</v>
      </c>
      <c r="H647" s="53">
        <v>1031</v>
      </c>
      <c r="I647" s="53">
        <v>880</v>
      </c>
      <c r="J647" s="54">
        <v>27082.711299999999</v>
      </c>
      <c r="K647" s="55">
        <f t="shared" si="40"/>
        <v>0.90999999999999992</v>
      </c>
      <c r="L647" s="56">
        <f t="shared" si="41"/>
        <v>0.90999999999999992</v>
      </c>
      <c r="M647" s="56" t="str">
        <f t="shared" si="42"/>
        <v/>
      </c>
      <c r="N647" s="56" t="str">
        <f t="shared" si="43"/>
        <v>OK</v>
      </c>
      <c r="O647" s="2"/>
      <c r="P647" s="27"/>
      <c r="Q647" s="2"/>
      <c r="R647" s="2"/>
    </row>
    <row r="648" spans="1:18" x14ac:dyDescent="0.35">
      <c r="A648" s="53">
        <v>593</v>
      </c>
      <c r="B648" s="53" t="s">
        <v>15</v>
      </c>
      <c r="C648" s="53" t="s">
        <v>32</v>
      </c>
      <c r="D648" s="53" t="s">
        <v>19</v>
      </c>
      <c r="E648" s="53" t="s">
        <v>25</v>
      </c>
      <c r="F648" s="54">
        <v>30203.45</v>
      </c>
      <c r="G648" s="53">
        <v>96346</v>
      </c>
      <c r="H648" s="53">
        <v>16649</v>
      </c>
      <c r="I648" s="53">
        <v>223</v>
      </c>
      <c r="J648" s="54">
        <v>57688.589500000002</v>
      </c>
      <c r="K648" s="55">
        <f t="shared" si="40"/>
        <v>0.91</v>
      </c>
      <c r="L648" s="56">
        <f t="shared" si="41"/>
        <v>0.91</v>
      </c>
      <c r="M648" s="56" t="str">
        <f t="shared" si="42"/>
        <v/>
      </c>
      <c r="N648" s="56" t="str">
        <f t="shared" si="43"/>
        <v>OK</v>
      </c>
      <c r="O648" s="2"/>
      <c r="P648" s="27"/>
      <c r="Q648" s="2"/>
      <c r="R648" s="2"/>
    </row>
    <row r="649" spans="1:18" x14ac:dyDescent="0.35">
      <c r="A649" s="53">
        <v>427</v>
      </c>
      <c r="B649" s="53" t="s">
        <v>11</v>
      </c>
      <c r="C649" s="53" t="s">
        <v>32</v>
      </c>
      <c r="D649" s="53" t="s">
        <v>21</v>
      </c>
      <c r="E649" s="53" t="s">
        <v>25</v>
      </c>
      <c r="F649" s="54">
        <v>49462.39</v>
      </c>
      <c r="G649" s="53">
        <v>35991</v>
      </c>
      <c r="H649" s="53">
        <v>17988</v>
      </c>
      <c r="I649" s="53">
        <v>460</v>
      </c>
      <c r="J649" s="54">
        <v>94473.164900000003</v>
      </c>
      <c r="K649" s="55">
        <f t="shared" si="40"/>
        <v>0.91000000000000014</v>
      </c>
      <c r="L649" s="56">
        <f t="shared" si="41"/>
        <v>0.91000000000000014</v>
      </c>
      <c r="M649" s="56" t="str">
        <f t="shared" si="42"/>
        <v/>
      </c>
      <c r="N649" s="56" t="str">
        <f t="shared" si="43"/>
        <v>OK</v>
      </c>
      <c r="O649" s="2"/>
      <c r="P649" s="27"/>
      <c r="Q649" s="2"/>
      <c r="R649" s="2"/>
    </row>
    <row r="650" spans="1:18" x14ac:dyDescent="0.35">
      <c r="A650" s="57">
        <v>536</v>
      </c>
      <c r="B650" s="57" t="s">
        <v>10</v>
      </c>
      <c r="C650" s="57" t="s">
        <v>31</v>
      </c>
      <c r="D650" s="57" t="s">
        <v>17</v>
      </c>
      <c r="E650" s="57" t="s">
        <v>29</v>
      </c>
      <c r="F650" s="58">
        <v>32658.71</v>
      </c>
      <c r="G650" s="57">
        <v>656047</v>
      </c>
      <c r="H650" s="57">
        <v>13126</v>
      </c>
      <c r="I650" s="57">
        <v>1342</v>
      </c>
      <c r="J650" s="58">
        <v>62378.136100000003</v>
      </c>
      <c r="K650" s="55">
        <f t="shared" si="40"/>
        <v>0.91000000000000014</v>
      </c>
      <c r="L650" s="56" t="str">
        <f t="shared" si="41"/>
        <v/>
      </c>
      <c r="M650" s="56">
        <f t="shared" si="42"/>
        <v>0.91000000000000014</v>
      </c>
      <c r="N650" s="56" t="str">
        <f t="shared" si="43"/>
        <v>OK</v>
      </c>
      <c r="O650" s="2"/>
      <c r="P650" s="27"/>
      <c r="Q650" s="2"/>
      <c r="R650" s="2"/>
    </row>
    <row r="651" spans="1:18" x14ac:dyDescent="0.35">
      <c r="A651" s="57">
        <v>714</v>
      </c>
      <c r="B651" s="57" t="s">
        <v>12</v>
      </c>
      <c r="C651" s="57" t="s">
        <v>32</v>
      </c>
      <c r="D651" s="57" t="s">
        <v>22</v>
      </c>
      <c r="E651" s="57" t="s">
        <v>26</v>
      </c>
      <c r="F651" s="58">
        <v>41170.089999999997</v>
      </c>
      <c r="G651" s="57">
        <v>930095</v>
      </c>
      <c r="H651" s="57">
        <v>16360</v>
      </c>
      <c r="I651" s="57">
        <v>490</v>
      </c>
      <c r="J651" s="58">
        <v>78634.871899999998</v>
      </c>
      <c r="K651" s="55">
        <f t="shared" si="40"/>
        <v>0.91000000000000014</v>
      </c>
      <c r="L651" s="56">
        <f t="shared" si="41"/>
        <v>0.91000000000000014</v>
      </c>
      <c r="M651" s="56" t="str">
        <f t="shared" si="42"/>
        <v/>
      </c>
      <c r="N651" s="56" t="str">
        <f t="shared" si="43"/>
        <v>OK</v>
      </c>
      <c r="O651" s="2"/>
      <c r="P651" s="27"/>
      <c r="Q651" s="2"/>
      <c r="R651" s="2"/>
    </row>
    <row r="652" spans="1:18" x14ac:dyDescent="0.35">
      <c r="A652" s="53">
        <v>889</v>
      </c>
      <c r="B652" s="53" t="s">
        <v>12</v>
      </c>
      <c r="C652" s="53" t="s">
        <v>32</v>
      </c>
      <c r="D652" s="53" t="s">
        <v>17</v>
      </c>
      <c r="E652" s="53" t="s">
        <v>29</v>
      </c>
      <c r="F652" s="54">
        <v>14095.38</v>
      </c>
      <c r="G652" s="53">
        <v>316093</v>
      </c>
      <c r="H652" s="53">
        <v>13582</v>
      </c>
      <c r="I652" s="53">
        <v>1040</v>
      </c>
      <c r="J652" s="54">
        <v>26922.175800000001</v>
      </c>
      <c r="K652" s="55">
        <f t="shared" si="40"/>
        <v>0.91000000000000014</v>
      </c>
      <c r="L652" s="56">
        <f t="shared" si="41"/>
        <v>0.91000000000000014</v>
      </c>
      <c r="M652" s="56" t="str">
        <f t="shared" si="42"/>
        <v/>
      </c>
      <c r="N652" s="56" t="str">
        <f t="shared" si="43"/>
        <v>OK</v>
      </c>
      <c r="O652" s="2"/>
      <c r="P652" s="27"/>
      <c r="Q652" s="2"/>
      <c r="R652" s="2"/>
    </row>
    <row r="653" spans="1:18" x14ac:dyDescent="0.35">
      <c r="A653" s="53">
        <v>719</v>
      </c>
      <c r="B653" s="53" t="s">
        <v>13</v>
      </c>
      <c r="C653" s="53" t="s">
        <v>32</v>
      </c>
      <c r="D653" s="53" t="s">
        <v>18</v>
      </c>
      <c r="E653" s="53" t="s">
        <v>24</v>
      </c>
      <c r="F653" s="54">
        <v>49536.76</v>
      </c>
      <c r="G653" s="53">
        <v>769785</v>
      </c>
      <c r="H653" s="53">
        <v>18681</v>
      </c>
      <c r="I653" s="53">
        <v>1472</v>
      </c>
      <c r="J653" s="54">
        <v>95110.579199999993</v>
      </c>
      <c r="K653" s="55">
        <f t="shared" si="40"/>
        <v>0.91999999999999982</v>
      </c>
      <c r="L653" s="56">
        <f t="shared" si="41"/>
        <v>0.91999999999999982</v>
      </c>
      <c r="M653" s="56" t="str">
        <f t="shared" si="42"/>
        <v/>
      </c>
      <c r="N653" s="56" t="str">
        <f t="shared" si="43"/>
        <v>OK</v>
      </c>
      <c r="O653" s="2"/>
      <c r="P653" s="27"/>
      <c r="Q653" s="2"/>
      <c r="R653" s="2"/>
    </row>
    <row r="654" spans="1:18" x14ac:dyDescent="0.35">
      <c r="A654" s="53">
        <v>991</v>
      </c>
      <c r="B654" s="53" t="s">
        <v>14</v>
      </c>
      <c r="C654" s="53" t="s">
        <v>32</v>
      </c>
      <c r="D654" s="53" t="s">
        <v>17</v>
      </c>
      <c r="E654" s="53" t="s">
        <v>26</v>
      </c>
      <c r="F654" s="54">
        <v>36874.01</v>
      </c>
      <c r="G654" s="53">
        <v>353615</v>
      </c>
      <c r="H654" s="53">
        <v>7554</v>
      </c>
      <c r="I654" s="53">
        <v>901</v>
      </c>
      <c r="J654" s="54">
        <v>70798.099199999997</v>
      </c>
      <c r="K654" s="55">
        <f t="shared" si="40"/>
        <v>0.91999999999999982</v>
      </c>
      <c r="L654" s="56">
        <f t="shared" si="41"/>
        <v>0.91999999999999982</v>
      </c>
      <c r="M654" s="56" t="str">
        <f t="shared" si="42"/>
        <v/>
      </c>
      <c r="N654" s="56" t="str">
        <f t="shared" si="43"/>
        <v>OK</v>
      </c>
      <c r="O654" s="2"/>
      <c r="P654" s="27"/>
      <c r="Q654" s="2"/>
      <c r="R654" s="2"/>
    </row>
    <row r="655" spans="1:18" x14ac:dyDescent="0.35">
      <c r="A655" s="53">
        <v>283</v>
      </c>
      <c r="B655" s="53" t="s">
        <v>10</v>
      </c>
      <c r="C655" s="53" t="s">
        <v>31</v>
      </c>
      <c r="D655" s="53" t="s">
        <v>20</v>
      </c>
      <c r="E655" s="53" t="s">
        <v>24</v>
      </c>
      <c r="F655" s="54">
        <v>10149.44</v>
      </c>
      <c r="G655" s="53">
        <v>555932</v>
      </c>
      <c r="H655" s="53">
        <v>9586</v>
      </c>
      <c r="I655" s="53">
        <v>1099</v>
      </c>
      <c r="J655" s="54">
        <v>19486.924800000001</v>
      </c>
      <c r="K655" s="55">
        <f t="shared" si="40"/>
        <v>0.91999999999999993</v>
      </c>
      <c r="L655" s="56" t="str">
        <f t="shared" si="41"/>
        <v/>
      </c>
      <c r="M655" s="56">
        <f t="shared" si="42"/>
        <v>0.91999999999999993</v>
      </c>
      <c r="N655" s="56" t="str">
        <f t="shared" si="43"/>
        <v>OK</v>
      </c>
      <c r="O655" s="2"/>
      <c r="P655" s="27"/>
      <c r="Q655" s="2"/>
      <c r="R655" s="2"/>
    </row>
    <row r="656" spans="1:18" x14ac:dyDescent="0.35">
      <c r="A656" s="53">
        <v>39</v>
      </c>
      <c r="B656" s="53" t="s">
        <v>11</v>
      </c>
      <c r="C656" s="53" t="s">
        <v>32</v>
      </c>
      <c r="D656" s="53" t="s">
        <v>17</v>
      </c>
      <c r="E656" s="53" t="s">
        <v>29</v>
      </c>
      <c r="F656" s="54">
        <v>1623.03</v>
      </c>
      <c r="G656" s="53">
        <v>863164</v>
      </c>
      <c r="H656" s="53">
        <v>8057</v>
      </c>
      <c r="I656" s="53">
        <v>138</v>
      </c>
      <c r="J656" s="54">
        <v>3116.2175999999999</v>
      </c>
      <c r="K656" s="55">
        <f t="shared" si="40"/>
        <v>0.92</v>
      </c>
      <c r="L656" s="56">
        <f t="shared" si="41"/>
        <v>0.92</v>
      </c>
      <c r="M656" s="56" t="str">
        <f t="shared" si="42"/>
        <v/>
      </c>
      <c r="N656" s="56" t="str">
        <f t="shared" si="43"/>
        <v>OK</v>
      </c>
      <c r="O656" s="2"/>
      <c r="P656" s="27"/>
      <c r="Q656" s="2"/>
      <c r="R656" s="2"/>
    </row>
    <row r="657" spans="1:18" x14ac:dyDescent="0.35">
      <c r="A657" s="57">
        <v>198</v>
      </c>
      <c r="B657" s="57" t="s">
        <v>12</v>
      </c>
      <c r="C657" s="57" t="s">
        <v>32</v>
      </c>
      <c r="D657" s="57" t="s">
        <v>20</v>
      </c>
      <c r="E657" s="57" t="s">
        <v>29</v>
      </c>
      <c r="F657" s="58">
        <v>14138.81</v>
      </c>
      <c r="G657" s="57">
        <v>55475</v>
      </c>
      <c r="H657" s="57">
        <v>16948</v>
      </c>
      <c r="I657" s="57">
        <v>367</v>
      </c>
      <c r="J657" s="58">
        <v>27146.515200000002</v>
      </c>
      <c r="K657" s="55">
        <f t="shared" si="40"/>
        <v>0.92000000000000015</v>
      </c>
      <c r="L657" s="56">
        <f t="shared" si="41"/>
        <v>0.92000000000000015</v>
      </c>
      <c r="M657" s="56" t="str">
        <f t="shared" si="42"/>
        <v/>
      </c>
      <c r="N657" s="56" t="str">
        <f t="shared" si="43"/>
        <v>OK</v>
      </c>
      <c r="O657" s="2"/>
      <c r="P657" s="27"/>
      <c r="Q657" s="2"/>
      <c r="R657" s="2"/>
    </row>
    <row r="658" spans="1:18" x14ac:dyDescent="0.35">
      <c r="A658" s="53">
        <v>157</v>
      </c>
      <c r="B658" s="53" t="s">
        <v>8</v>
      </c>
      <c r="C658" s="53" t="s">
        <v>31</v>
      </c>
      <c r="D658" s="53" t="s">
        <v>19</v>
      </c>
      <c r="E658" s="53" t="s">
        <v>25</v>
      </c>
      <c r="F658" s="54">
        <v>28711.95</v>
      </c>
      <c r="G658" s="53">
        <v>481017</v>
      </c>
      <c r="H658" s="53">
        <v>17099</v>
      </c>
      <c r="I658" s="53">
        <v>1108</v>
      </c>
      <c r="J658" s="54">
        <v>55414.063499999997</v>
      </c>
      <c r="K658" s="55">
        <f t="shared" si="40"/>
        <v>0.92999999999999983</v>
      </c>
      <c r="L658" s="56" t="str">
        <f t="shared" si="41"/>
        <v/>
      </c>
      <c r="M658" s="56">
        <f t="shared" si="42"/>
        <v>0.92999999999999983</v>
      </c>
      <c r="N658" s="56" t="str">
        <f t="shared" si="43"/>
        <v>OK</v>
      </c>
      <c r="O658" s="2"/>
      <c r="P658" s="27"/>
      <c r="Q658" s="2"/>
      <c r="R658" s="2"/>
    </row>
    <row r="659" spans="1:18" x14ac:dyDescent="0.35">
      <c r="A659" s="53">
        <v>927</v>
      </c>
      <c r="B659" s="53" t="s">
        <v>15</v>
      </c>
      <c r="C659" s="53" t="s">
        <v>32</v>
      </c>
      <c r="D659" s="53" t="s">
        <v>22</v>
      </c>
      <c r="E659" s="53" t="s">
        <v>29</v>
      </c>
      <c r="F659" s="54">
        <v>32896.910000000003</v>
      </c>
      <c r="G659" s="53">
        <v>777669</v>
      </c>
      <c r="H659" s="53">
        <v>10844</v>
      </c>
      <c r="I659" s="53">
        <v>836</v>
      </c>
      <c r="J659" s="54">
        <v>63491.0363</v>
      </c>
      <c r="K659" s="55">
        <f t="shared" si="40"/>
        <v>0.92999999999999983</v>
      </c>
      <c r="L659" s="56">
        <f t="shared" si="41"/>
        <v>0.92999999999999983</v>
      </c>
      <c r="M659" s="56" t="str">
        <f t="shared" si="42"/>
        <v/>
      </c>
      <c r="N659" s="56" t="str">
        <f t="shared" si="43"/>
        <v>OK</v>
      </c>
      <c r="O659" s="2"/>
      <c r="P659" s="27"/>
      <c r="Q659" s="2"/>
      <c r="R659" s="2"/>
    </row>
    <row r="660" spans="1:18" x14ac:dyDescent="0.35">
      <c r="A660" s="53">
        <v>547</v>
      </c>
      <c r="B660" s="53" t="s">
        <v>15</v>
      </c>
      <c r="C660" s="53" t="s">
        <v>32</v>
      </c>
      <c r="D660" s="53" t="s">
        <v>22</v>
      </c>
      <c r="E660" s="53" t="s">
        <v>29</v>
      </c>
      <c r="F660" s="54">
        <v>26969.58</v>
      </c>
      <c r="G660" s="53">
        <v>410890</v>
      </c>
      <c r="H660" s="53">
        <v>2152</v>
      </c>
      <c r="I660" s="53">
        <v>948</v>
      </c>
      <c r="J660" s="54">
        <v>52051.289400000001</v>
      </c>
      <c r="K660" s="55">
        <f t="shared" si="40"/>
        <v>0.92999999999999994</v>
      </c>
      <c r="L660" s="56">
        <f t="shared" si="41"/>
        <v>0.92999999999999994</v>
      </c>
      <c r="M660" s="56" t="str">
        <f t="shared" si="42"/>
        <v/>
      </c>
      <c r="N660" s="56" t="str">
        <f t="shared" si="43"/>
        <v>OK</v>
      </c>
      <c r="O660" s="2"/>
      <c r="P660" s="27"/>
      <c r="Q660" s="2"/>
      <c r="R660" s="2"/>
    </row>
    <row r="661" spans="1:18" x14ac:dyDescent="0.35">
      <c r="A661" s="57">
        <v>300</v>
      </c>
      <c r="B661" s="57" t="s">
        <v>13</v>
      </c>
      <c r="C661" s="57" t="s">
        <v>32</v>
      </c>
      <c r="D661" s="57" t="s">
        <v>18</v>
      </c>
      <c r="E661" s="57" t="s">
        <v>24</v>
      </c>
      <c r="F661" s="58">
        <v>25845.5</v>
      </c>
      <c r="G661" s="57">
        <v>347369</v>
      </c>
      <c r="H661" s="57">
        <v>11251</v>
      </c>
      <c r="I661" s="57">
        <v>1782</v>
      </c>
      <c r="J661" s="58">
        <v>49881.815000000002</v>
      </c>
      <c r="K661" s="55">
        <f t="shared" si="40"/>
        <v>0.93</v>
      </c>
      <c r="L661" s="56">
        <f t="shared" si="41"/>
        <v>0.93</v>
      </c>
      <c r="M661" s="56" t="str">
        <f t="shared" si="42"/>
        <v/>
      </c>
      <c r="N661" s="56" t="str">
        <f t="shared" si="43"/>
        <v>OK</v>
      </c>
      <c r="O661" s="2"/>
      <c r="P661" s="27"/>
      <c r="Q661" s="2"/>
      <c r="R661" s="2"/>
    </row>
    <row r="662" spans="1:18" x14ac:dyDescent="0.35">
      <c r="A662" s="53">
        <v>863</v>
      </c>
      <c r="B662" s="53" t="s">
        <v>14</v>
      </c>
      <c r="C662" s="53" t="s">
        <v>32</v>
      </c>
      <c r="D662" s="53" t="s">
        <v>22</v>
      </c>
      <c r="E662" s="53" t="s">
        <v>27</v>
      </c>
      <c r="F662" s="54">
        <v>23939.55</v>
      </c>
      <c r="G662" s="53">
        <v>925480</v>
      </c>
      <c r="H662" s="53">
        <v>16613</v>
      </c>
      <c r="I662" s="53">
        <v>192</v>
      </c>
      <c r="J662" s="54">
        <v>46203.3315</v>
      </c>
      <c r="K662" s="55">
        <f t="shared" si="40"/>
        <v>0.93</v>
      </c>
      <c r="L662" s="56">
        <f t="shared" si="41"/>
        <v>0.93</v>
      </c>
      <c r="M662" s="56" t="str">
        <f t="shared" si="42"/>
        <v/>
      </c>
      <c r="N662" s="56" t="str">
        <f t="shared" si="43"/>
        <v>OK</v>
      </c>
      <c r="O662" s="2"/>
      <c r="P662" s="27"/>
      <c r="Q662" s="2"/>
      <c r="R662" s="2"/>
    </row>
    <row r="663" spans="1:18" x14ac:dyDescent="0.35">
      <c r="A663" s="57">
        <v>920</v>
      </c>
      <c r="B663" s="57" t="s">
        <v>13</v>
      </c>
      <c r="C663" s="57" t="s">
        <v>32</v>
      </c>
      <c r="D663" s="57" t="s">
        <v>18</v>
      </c>
      <c r="E663" s="57" t="s">
        <v>29</v>
      </c>
      <c r="F663" s="58">
        <v>24196.639999999999</v>
      </c>
      <c r="G663" s="57">
        <v>710636</v>
      </c>
      <c r="H663" s="57">
        <v>15619</v>
      </c>
      <c r="I663" s="57">
        <v>1635</v>
      </c>
      <c r="J663" s="58">
        <v>46699.515200000002</v>
      </c>
      <c r="K663" s="55">
        <f t="shared" si="40"/>
        <v>0.93000000000000016</v>
      </c>
      <c r="L663" s="56">
        <f t="shared" si="41"/>
        <v>0.93000000000000016</v>
      </c>
      <c r="M663" s="56" t="str">
        <f t="shared" si="42"/>
        <v/>
      </c>
      <c r="N663" s="56" t="str">
        <f t="shared" si="43"/>
        <v>OK</v>
      </c>
      <c r="O663" s="2"/>
      <c r="P663" s="27"/>
      <c r="Q663" s="2"/>
      <c r="R663" s="2"/>
    </row>
    <row r="664" spans="1:18" x14ac:dyDescent="0.35">
      <c r="A664" s="57">
        <v>398</v>
      </c>
      <c r="B664" s="57" t="s">
        <v>10</v>
      </c>
      <c r="C664" s="57" t="s">
        <v>31</v>
      </c>
      <c r="D664" s="57" t="s">
        <v>18</v>
      </c>
      <c r="E664" s="57" t="s">
        <v>28</v>
      </c>
      <c r="F664" s="58">
        <v>35676.730000000003</v>
      </c>
      <c r="G664" s="57">
        <v>227813</v>
      </c>
      <c r="H664" s="57">
        <v>13878</v>
      </c>
      <c r="I664" s="57">
        <v>1840</v>
      </c>
      <c r="J664" s="58">
        <v>69212.856199999995</v>
      </c>
      <c r="K664" s="55">
        <f t="shared" si="40"/>
        <v>0.93999999999999972</v>
      </c>
      <c r="L664" s="56" t="str">
        <f t="shared" si="41"/>
        <v/>
      </c>
      <c r="M664" s="56">
        <f t="shared" si="42"/>
        <v>0.93999999999999972</v>
      </c>
      <c r="N664" s="56" t="str">
        <f t="shared" si="43"/>
        <v>OK</v>
      </c>
      <c r="O664" s="2"/>
      <c r="P664" s="27"/>
      <c r="Q664" s="2"/>
      <c r="R664" s="2"/>
    </row>
    <row r="665" spans="1:18" x14ac:dyDescent="0.35">
      <c r="A665" s="57">
        <v>80</v>
      </c>
      <c r="B665" s="57" t="s">
        <v>12</v>
      </c>
      <c r="C665" s="57" t="s">
        <v>32</v>
      </c>
      <c r="D665" s="57" t="s">
        <v>21</v>
      </c>
      <c r="E665" s="57" t="s">
        <v>29</v>
      </c>
      <c r="F665" s="58">
        <v>14617.2</v>
      </c>
      <c r="G665" s="57">
        <v>122492</v>
      </c>
      <c r="H665" s="57">
        <v>9406</v>
      </c>
      <c r="I665" s="57">
        <v>1076</v>
      </c>
      <c r="J665" s="58">
        <v>28357.367999999999</v>
      </c>
      <c r="K665" s="55">
        <f t="shared" si="40"/>
        <v>0.93999999999999984</v>
      </c>
      <c r="L665" s="56">
        <f t="shared" si="41"/>
        <v>0.93999999999999984</v>
      </c>
      <c r="M665" s="56" t="str">
        <f t="shared" si="42"/>
        <v/>
      </c>
      <c r="N665" s="56" t="str">
        <f t="shared" si="43"/>
        <v>OK</v>
      </c>
      <c r="O665" s="2"/>
      <c r="P665" s="27"/>
      <c r="Q665" s="2"/>
      <c r="R665" s="2"/>
    </row>
    <row r="666" spans="1:18" x14ac:dyDescent="0.35">
      <c r="A666" s="53">
        <v>189</v>
      </c>
      <c r="B666" s="53" t="s">
        <v>8</v>
      </c>
      <c r="C666" s="53" t="s">
        <v>31</v>
      </c>
      <c r="D666" s="53" t="s">
        <v>17</v>
      </c>
      <c r="E666" s="53" t="s">
        <v>28</v>
      </c>
      <c r="F666" s="54">
        <v>3185.15</v>
      </c>
      <c r="G666" s="53">
        <v>48578</v>
      </c>
      <c r="H666" s="53">
        <v>13217</v>
      </c>
      <c r="I666" s="53">
        <v>1783</v>
      </c>
      <c r="J666" s="54">
        <v>6179.1909999999998</v>
      </c>
      <c r="K666" s="55">
        <f t="shared" si="40"/>
        <v>0.93999999999999984</v>
      </c>
      <c r="L666" s="56" t="str">
        <f t="shared" si="41"/>
        <v/>
      </c>
      <c r="M666" s="56">
        <f t="shared" si="42"/>
        <v>0.93999999999999984</v>
      </c>
      <c r="N666" s="56" t="str">
        <f t="shared" si="43"/>
        <v>OK</v>
      </c>
      <c r="O666" s="2"/>
      <c r="P666" s="27"/>
      <c r="Q666" s="2"/>
      <c r="R666" s="2"/>
    </row>
    <row r="667" spans="1:18" x14ac:dyDescent="0.35">
      <c r="A667" s="53">
        <v>943</v>
      </c>
      <c r="B667" s="53" t="s">
        <v>13</v>
      </c>
      <c r="C667" s="53" t="s">
        <v>32</v>
      </c>
      <c r="D667" s="53" t="s">
        <v>21</v>
      </c>
      <c r="E667" s="53" t="s">
        <v>24</v>
      </c>
      <c r="F667" s="54">
        <v>40683.15</v>
      </c>
      <c r="G667" s="53">
        <v>603130</v>
      </c>
      <c r="H667" s="53">
        <v>16763</v>
      </c>
      <c r="I667" s="53">
        <v>717</v>
      </c>
      <c r="J667" s="54">
        <v>78925.311000000002</v>
      </c>
      <c r="K667" s="55">
        <f t="shared" si="40"/>
        <v>0.94</v>
      </c>
      <c r="L667" s="56">
        <f t="shared" si="41"/>
        <v>0.94</v>
      </c>
      <c r="M667" s="56" t="str">
        <f t="shared" si="42"/>
        <v/>
      </c>
      <c r="N667" s="56" t="str">
        <f t="shared" si="43"/>
        <v>OK</v>
      </c>
      <c r="O667" s="2"/>
      <c r="P667" s="27"/>
      <c r="Q667" s="2"/>
      <c r="R667" s="2"/>
    </row>
    <row r="668" spans="1:18" x14ac:dyDescent="0.35">
      <c r="A668" s="53">
        <v>993</v>
      </c>
      <c r="B668" s="53" t="s">
        <v>14</v>
      </c>
      <c r="C668" s="53" t="s">
        <v>32</v>
      </c>
      <c r="D668" s="53" t="s">
        <v>17</v>
      </c>
      <c r="E668" s="53" t="s">
        <v>27</v>
      </c>
      <c r="F668" s="54">
        <v>35217.25</v>
      </c>
      <c r="G668" s="53">
        <v>920115</v>
      </c>
      <c r="H668" s="53">
        <v>12470</v>
      </c>
      <c r="I668" s="53">
        <v>1661</v>
      </c>
      <c r="J668" s="54">
        <v>68321.464999999997</v>
      </c>
      <c r="K668" s="55">
        <f t="shared" si="40"/>
        <v>0.94</v>
      </c>
      <c r="L668" s="56">
        <f t="shared" si="41"/>
        <v>0.94</v>
      </c>
      <c r="M668" s="56" t="str">
        <f t="shared" si="42"/>
        <v/>
      </c>
      <c r="N668" s="56" t="str">
        <f t="shared" si="43"/>
        <v>OK</v>
      </c>
      <c r="O668" s="2"/>
      <c r="P668" s="27"/>
      <c r="Q668" s="2"/>
      <c r="R668" s="2"/>
    </row>
    <row r="669" spans="1:18" x14ac:dyDescent="0.35">
      <c r="A669" s="57">
        <v>690</v>
      </c>
      <c r="B669" s="57" t="s">
        <v>14</v>
      </c>
      <c r="C669" s="57" t="s">
        <v>32</v>
      </c>
      <c r="D669" s="57" t="s">
        <v>20</v>
      </c>
      <c r="E669" s="57" t="s">
        <v>27</v>
      </c>
      <c r="F669" s="58">
        <v>22729.34</v>
      </c>
      <c r="G669" s="57">
        <v>434390</v>
      </c>
      <c r="H669" s="57">
        <v>18537</v>
      </c>
      <c r="I669" s="57">
        <v>711</v>
      </c>
      <c r="J669" s="58">
        <v>44094.919600000001</v>
      </c>
      <c r="K669" s="55">
        <f t="shared" si="40"/>
        <v>0.94000000000000006</v>
      </c>
      <c r="L669" s="56">
        <f t="shared" si="41"/>
        <v>0.94000000000000006</v>
      </c>
      <c r="M669" s="56" t="str">
        <f t="shared" si="42"/>
        <v/>
      </c>
      <c r="N669" s="56" t="str">
        <f t="shared" si="43"/>
        <v>OK</v>
      </c>
      <c r="O669" s="2"/>
      <c r="P669" s="27"/>
      <c r="Q669" s="2"/>
      <c r="R669" s="2"/>
    </row>
    <row r="670" spans="1:18" x14ac:dyDescent="0.35">
      <c r="A670" s="53">
        <v>477</v>
      </c>
      <c r="B670" s="53" t="s">
        <v>11</v>
      </c>
      <c r="C670" s="53" t="s">
        <v>32</v>
      </c>
      <c r="D670" s="53" t="s">
        <v>19</v>
      </c>
      <c r="E670" s="53" t="s">
        <v>28</v>
      </c>
      <c r="F670" s="54">
        <v>23072.799999999999</v>
      </c>
      <c r="G670" s="53">
        <v>242930</v>
      </c>
      <c r="H670" s="53">
        <v>11855</v>
      </c>
      <c r="I670" s="53">
        <v>1223</v>
      </c>
      <c r="J670" s="54">
        <v>44761.232000000004</v>
      </c>
      <c r="K670" s="55">
        <f t="shared" si="40"/>
        <v>0.94000000000000017</v>
      </c>
      <c r="L670" s="56">
        <f t="shared" si="41"/>
        <v>0.94000000000000017</v>
      </c>
      <c r="M670" s="56" t="str">
        <f t="shared" si="42"/>
        <v/>
      </c>
      <c r="N670" s="56" t="str">
        <f t="shared" si="43"/>
        <v>OK</v>
      </c>
      <c r="O670" s="2"/>
      <c r="P670" s="27"/>
      <c r="Q670" s="2"/>
      <c r="R670" s="2"/>
    </row>
    <row r="671" spans="1:18" x14ac:dyDescent="0.35">
      <c r="A671" s="57">
        <v>34</v>
      </c>
      <c r="B671" s="57" t="s">
        <v>14</v>
      </c>
      <c r="C671" s="57" t="s">
        <v>32</v>
      </c>
      <c r="D671" s="57" t="s">
        <v>18</v>
      </c>
      <c r="E671" s="57" t="s">
        <v>28</v>
      </c>
      <c r="F671" s="58">
        <v>9020.51</v>
      </c>
      <c r="G671" s="57">
        <v>512648</v>
      </c>
      <c r="H671" s="57">
        <v>4351</v>
      </c>
      <c r="I671" s="57">
        <v>202</v>
      </c>
      <c r="J671" s="58">
        <v>17589.994500000001</v>
      </c>
      <c r="K671" s="55">
        <f t="shared" si="40"/>
        <v>0.95000000000000007</v>
      </c>
      <c r="L671" s="56">
        <f t="shared" si="41"/>
        <v>0.95000000000000007</v>
      </c>
      <c r="M671" s="56" t="str">
        <f t="shared" si="42"/>
        <v/>
      </c>
      <c r="N671" s="56" t="str">
        <f t="shared" si="43"/>
        <v>OK</v>
      </c>
      <c r="O671" s="2"/>
      <c r="P671" s="27"/>
      <c r="Q671" s="2"/>
      <c r="R671" s="2"/>
    </row>
    <row r="672" spans="1:18" x14ac:dyDescent="0.35">
      <c r="A672" s="53">
        <v>767</v>
      </c>
      <c r="B672" s="53" t="s">
        <v>15</v>
      </c>
      <c r="C672" s="53" t="s">
        <v>32</v>
      </c>
      <c r="D672" s="53" t="s">
        <v>18</v>
      </c>
      <c r="E672" s="53" t="s">
        <v>25</v>
      </c>
      <c r="F672" s="54">
        <v>2649.79</v>
      </c>
      <c r="G672" s="53">
        <v>969109</v>
      </c>
      <c r="H672" s="53">
        <v>18037</v>
      </c>
      <c r="I672" s="53">
        <v>632</v>
      </c>
      <c r="J672" s="54">
        <v>5167.0905000000002</v>
      </c>
      <c r="K672" s="55">
        <f t="shared" si="40"/>
        <v>0.95000000000000007</v>
      </c>
      <c r="L672" s="56">
        <f t="shared" si="41"/>
        <v>0.95000000000000007</v>
      </c>
      <c r="M672" s="56" t="str">
        <f t="shared" si="42"/>
        <v/>
      </c>
      <c r="N672" s="56" t="str">
        <f t="shared" si="43"/>
        <v>OK</v>
      </c>
      <c r="O672" s="2"/>
      <c r="P672" s="27"/>
      <c r="Q672" s="2"/>
      <c r="R672" s="2"/>
    </row>
    <row r="673" spans="1:18" x14ac:dyDescent="0.35">
      <c r="A673" s="57">
        <v>120</v>
      </c>
      <c r="B673" s="57" t="s">
        <v>15</v>
      </c>
      <c r="C673" s="57" t="s">
        <v>32</v>
      </c>
      <c r="D673" s="57" t="s">
        <v>17</v>
      </c>
      <c r="E673" s="57" t="s">
        <v>28</v>
      </c>
      <c r="F673" s="58">
        <v>6102.73</v>
      </c>
      <c r="G673" s="57">
        <v>405395</v>
      </c>
      <c r="H673" s="57">
        <v>5495</v>
      </c>
      <c r="I673" s="57">
        <v>1900</v>
      </c>
      <c r="J673" s="58">
        <v>11900.3235</v>
      </c>
      <c r="K673" s="55">
        <f t="shared" si="40"/>
        <v>0.95000000000000018</v>
      </c>
      <c r="L673" s="56">
        <f t="shared" si="41"/>
        <v>0.95000000000000018</v>
      </c>
      <c r="M673" s="56" t="str">
        <f t="shared" si="42"/>
        <v/>
      </c>
      <c r="N673" s="56" t="str">
        <f t="shared" si="43"/>
        <v>OK</v>
      </c>
      <c r="O673" s="2"/>
      <c r="P673" s="27"/>
      <c r="Q673" s="2"/>
      <c r="R673" s="2"/>
    </row>
    <row r="674" spans="1:18" x14ac:dyDescent="0.35">
      <c r="A674" s="57">
        <v>552</v>
      </c>
      <c r="B674" s="57" t="s">
        <v>12</v>
      </c>
      <c r="C674" s="57" t="s">
        <v>32</v>
      </c>
      <c r="D674" s="57" t="s">
        <v>21</v>
      </c>
      <c r="E674" s="57" t="s">
        <v>26</v>
      </c>
      <c r="F674" s="58">
        <v>27092.14</v>
      </c>
      <c r="G674" s="57">
        <v>498067</v>
      </c>
      <c r="H674" s="57">
        <v>13257</v>
      </c>
      <c r="I674" s="57">
        <v>1535</v>
      </c>
      <c r="J674" s="58">
        <v>52829.673000000003</v>
      </c>
      <c r="K674" s="55">
        <f t="shared" si="40"/>
        <v>0.95000000000000018</v>
      </c>
      <c r="L674" s="56">
        <f t="shared" si="41"/>
        <v>0.95000000000000018</v>
      </c>
      <c r="M674" s="56" t="str">
        <f t="shared" si="42"/>
        <v/>
      </c>
      <c r="N674" s="56" t="str">
        <f t="shared" si="43"/>
        <v>OK</v>
      </c>
      <c r="O674" s="2"/>
      <c r="P674" s="27"/>
      <c r="Q674" s="2"/>
      <c r="R674" s="2"/>
    </row>
    <row r="675" spans="1:18" x14ac:dyDescent="0.35">
      <c r="A675" s="53">
        <v>299</v>
      </c>
      <c r="B675" s="53" t="s">
        <v>15</v>
      </c>
      <c r="C675" s="53" t="s">
        <v>32</v>
      </c>
      <c r="D675" s="53" t="s">
        <v>19</v>
      </c>
      <c r="E675" s="53" t="s">
        <v>29</v>
      </c>
      <c r="F675" s="54">
        <v>9273.86</v>
      </c>
      <c r="G675" s="53">
        <v>639698</v>
      </c>
      <c r="H675" s="53">
        <v>326</v>
      </c>
      <c r="I675" s="53">
        <v>1123</v>
      </c>
      <c r="J675" s="54">
        <v>18176.765599999999</v>
      </c>
      <c r="K675" s="55">
        <f t="shared" si="40"/>
        <v>0.95999999999999974</v>
      </c>
      <c r="L675" s="56">
        <f t="shared" si="41"/>
        <v>0.95999999999999974</v>
      </c>
      <c r="M675" s="56" t="str">
        <f t="shared" si="42"/>
        <v/>
      </c>
      <c r="N675" s="56" t="str">
        <f t="shared" si="43"/>
        <v>ERROR: Conversions &gt; Clicks</v>
      </c>
      <c r="O675" s="2"/>
      <c r="P675" s="27"/>
      <c r="Q675" s="2"/>
      <c r="R675" s="2"/>
    </row>
    <row r="676" spans="1:18" x14ac:dyDescent="0.35">
      <c r="A676" s="57">
        <v>954</v>
      </c>
      <c r="B676" s="57" t="s">
        <v>12</v>
      </c>
      <c r="C676" s="57" t="s">
        <v>32</v>
      </c>
      <c r="D676" s="57" t="s">
        <v>17</v>
      </c>
      <c r="E676" s="57" t="s">
        <v>26</v>
      </c>
      <c r="F676" s="58">
        <v>3183.63</v>
      </c>
      <c r="G676" s="57">
        <v>709895</v>
      </c>
      <c r="H676" s="57">
        <v>10978</v>
      </c>
      <c r="I676" s="57">
        <v>473</v>
      </c>
      <c r="J676" s="58">
        <v>6239.9147999999996</v>
      </c>
      <c r="K676" s="55">
        <f t="shared" si="40"/>
        <v>0.95999999999999974</v>
      </c>
      <c r="L676" s="56">
        <f t="shared" si="41"/>
        <v>0.95999999999999974</v>
      </c>
      <c r="M676" s="56" t="str">
        <f t="shared" si="42"/>
        <v/>
      </c>
      <c r="N676" s="56" t="str">
        <f t="shared" si="43"/>
        <v>OK</v>
      </c>
      <c r="O676" s="2"/>
      <c r="P676" s="27"/>
      <c r="Q676" s="2"/>
      <c r="R676" s="2"/>
    </row>
    <row r="677" spans="1:18" x14ac:dyDescent="0.35">
      <c r="A677" s="57">
        <v>440</v>
      </c>
      <c r="B677" s="57" t="s">
        <v>9</v>
      </c>
      <c r="C677" s="57" t="s">
        <v>31</v>
      </c>
      <c r="D677" s="57" t="s">
        <v>22</v>
      </c>
      <c r="E677" s="57" t="s">
        <v>24</v>
      </c>
      <c r="F677" s="58">
        <v>37140.720000000001</v>
      </c>
      <c r="G677" s="57">
        <v>405204</v>
      </c>
      <c r="H677" s="57">
        <v>10260</v>
      </c>
      <c r="I677" s="57">
        <v>336</v>
      </c>
      <c r="J677" s="58">
        <v>72795.811199999996</v>
      </c>
      <c r="K677" s="55">
        <f t="shared" si="40"/>
        <v>0.95999999999999985</v>
      </c>
      <c r="L677" s="56" t="str">
        <f t="shared" si="41"/>
        <v/>
      </c>
      <c r="M677" s="56">
        <f t="shared" si="42"/>
        <v>0.95999999999999985</v>
      </c>
      <c r="N677" s="56" t="str">
        <f t="shared" si="43"/>
        <v>OK</v>
      </c>
      <c r="O677" s="2"/>
      <c r="P677" s="27"/>
      <c r="Q677" s="2"/>
      <c r="R677" s="2"/>
    </row>
    <row r="678" spans="1:18" x14ac:dyDescent="0.35">
      <c r="A678" s="57">
        <v>332</v>
      </c>
      <c r="B678" s="57" t="s">
        <v>11</v>
      </c>
      <c r="C678" s="57" t="s">
        <v>32</v>
      </c>
      <c r="D678" s="57" t="s">
        <v>17</v>
      </c>
      <c r="E678" s="57" t="s">
        <v>25</v>
      </c>
      <c r="F678" s="58">
        <v>6426.67</v>
      </c>
      <c r="G678" s="57">
        <v>835626</v>
      </c>
      <c r="H678" s="57">
        <v>819</v>
      </c>
      <c r="I678" s="57">
        <v>1150</v>
      </c>
      <c r="J678" s="58">
        <v>12596.2732</v>
      </c>
      <c r="K678" s="55">
        <f t="shared" si="40"/>
        <v>0.96</v>
      </c>
      <c r="L678" s="56">
        <f t="shared" si="41"/>
        <v>0.96</v>
      </c>
      <c r="M678" s="56" t="str">
        <f t="shared" si="42"/>
        <v/>
      </c>
      <c r="N678" s="56" t="str">
        <f t="shared" si="43"/>
        <v>ERROR: Conversions &gt; Clicks</v>
      </c>
      <c r="O678" s="2"/>
      <c r="P678" s="27"/>
      <c r="Q678" s="2"/>
      <c r="R678" s="2"/>
    </row>
    <row r="679" spans="1:18" x14ac:dyDescent="0.35">
      <c r="A679" s="53">
        <v>897</v>
      </c>
      <c r="B679" s="53" t="s">
        <v>10</v>
      </c>
      <c r="C679" s="53" t="s">
        <v>31</v>
      </c>
      <c r="D679" s="53" t="s">
        <v>22</v>
      </c>
      <c r="E679" s="53" t="s">
        <v>25</v>
      </c>
      <c r="F679" s="54">
        <v>9905.2199999999993</v>
      </c>
      <c r="G679" s="53">
        <v>837585</v>
      </c>
      <c r="H679" s="53">
        <v>15316</v>
      </c>
      <c r="I679" s="53">
        <v>923</v>
      </c>
      <c r="J679" s="54">
        <v>19414.231199999998</v>
      </c>
      <c r="K679" s="55">
        <f t="shared" si="40"/>
        <v>0.96</v>
      </c>
      <c r="L679" s="56" t="str">
        <f t="shared" si="41"/>
        <v/>
      </c>
      <c r="M679" s="56">
        <f t="shared" si="42"/>
        <v>0.96</v>
      </c>
      <c r="N679" s="56" t="str">
        <f t="shared" si="43"/>
        <v>OK</v>
      </c>
      <c r="O679" s="2"/>
      <c r="P679" s="27"/>
      <c r="Q679" s="2"/>
      <c r="R679" s="2"/>
    </row>
    <row r="680" spans="1:18" x14ac:dyDescent="0.35">
      <c r="A680" s="57">
        <v>666</v>
      </c>
      <c r="B680" s="57" t="s">
        <v>15</v>
      </c>
      <c r="C680" s="57" t="s">
        <v>32</v>
      </c>
      <c r="D680" s="57" t="s">
        <v>22</v>
      </c>
      <c r="E680" s="57" t="s">
        <v>26</v>
      </c>
      <c r="F680" s="58">
        <v>2861.1</v>
      </c>
      <c r="G680" s="57">
        <v>195194</v>
      </c>
      <c r="H680" s="57">
        <v>14636</v>
      </c>
      <c r="I680" s="57">
        <v>258</v>
      </c>
      <c r="J680" s="58">
        <v>5607.7560000000003</v>
      </c>
      <c r="K680" s="55">
        <f t="shared" si="40"/>
        <v>0.96000000000000019</v>
      </c>
      <c r="L680" s="56">
        <f t="shared" si="41"/>
        <v>0.96000000000000019</v>
      </c>
      <c r="M680" s="56" t="str">
        <f t="shared" si="42"/>
        <v/>
      </c>
      <c r="N680" s="56" t="str">
        <f t="shared" si="43"/>
        <v>OK</v>
      </c>
      <c r="O680" s="2"/>
      <c r="P680" s="27"/>
      <c r="Q680" s="2"/>
      <c r="R680" s="2"/>
    </row>
    <row r="681" spans="1:18" x14ac:dyDescent="0.35">
      <c r="A681" s="53">
        <v>577</v>
      </c>
      <c r="B681" s="53" t="s">
        <v>15</v>
      </c>
      <c r="C681" s="53" t="s">
        <v>32</v>
      </c>
      <c r="D681" s="53" t="s">
        <v>18</v>
      </c>
      <c r="E681" s="53" t="s">
        <v>29</v>
      </c>
      <c r="F681" s="54">
        <v>19132.560000000001</v>
      </c>
      <c r="G681" s="53">
        <v>899855</v>
      </c>
      <c r="H681" s="53">
        <v>10450</v>
      </c>
      <c r="I681" s="53">
        <v>303</v>
      </c>
      <c r="J681" s="54">
        <v>37691.143199999999</v>
      </c>
      <c r="K681" s="55">
        <f t="shared" si="40"/>
        <v>0.96999999999999975</v>
      </c>
      <c r="L681" s="56">
        <f t="shared" si="41"/>
        <v>0.96999999999999975</v>
      </c>
      <c r="M681" s="56" t="str">
        <f t="shared" si="42"/>
        <v/>
      </c>
      <c r="N681" s="56" t="str">
        <f t="shared" si="43"/>
        <v>OK</v>
      </c>
      <c r="O681" s="2"/>
      <c r="P681" s="27"/>
      <c r="Q681" s="2"/>
      <c r="R681" s="2"/>
    </row>
    <row r="682" spans="1:18" x14ac:dyDescent="0.35">
      <c r="A682" s="53">
        <v>975</v>
      </c>
      <c r="B682" s="53" t="s">
        <v>12</v>
      </c>
      <c r="C682" s="53" t="s">
        <v>32</v>
      </c>
      <c r="D682" s="53" t="s">
        <v>17</v>
      </c>
      <c r="E682" s="53" t="s">
        <v>29</v>
      </c>
      <c r="F682" s="54">
        <v>20201.060000000001</v>
      </c>
      <c r="G682" s="53">
        <v>493007</v>
      </c>
      <c r="H682" s="53">
        <v>14122</v>
      </c>
      <c r="I682" s="53">
        <v>1593</v>
      </c>
      <c r="J682" s="54">
        <v>39796.088199999998</v>
      </c>
      <c r="K682" s="55">
        <f t="shared" si="40"/>
        <v>0.96999999999999975</v>
      </c>
      <c r="L682" s="56">
        <f t="shared" si="41"/>
        <v>0.96999999999999975</v>
      </c>
      <c r="M682" s="56" t="str">
        <f t="shared" si="42"/>
        <v/>
      </c>
      <c r="N682" s="56" t="str">
        <f t="shared" si="43"/>
        <v>OK</v>
      </c>
      <c r="O682" s="2"/>
      <c r="P682" s="27"/>
      <c r="Q682" s="2"/>
      <c r="R682" s="2"/>
    </row>
    <row r="683" spans="1:18" x14ac:dyDescent="0.35">
      <c r="A683" s="53">
        <v>977</v>
      </c>
      <c r="B683" s="53" t="s">
        <v>13</v>
      </c>
      <c r="C683" s="53" t="s">
        <v>32</v>
      </c>
      <c r="D683" s="53" t="s">
        <v>20</v>
      </c>
      <c r="E683" s="53" t="s">
        <v>28</v>
      </c>
      <c r="F683" s="54">
        <v>6335.77</v>
      </c>
      <c r="G683" s="53">
        <v>292140</v>
      </c>
      <c r="H683" s="53">
        <v>15986</v>
      </c>
      <c r="I683" s="53">
        <v>12</v>
      </c>
      <c r="J683" s="54">
        <v>12481.466899999999</v>
      </c>
      <c r="K683" s="55">
        <f t="shared" si="40"/>
        <v>0.96999999999999975</v>
      </c>
      <c r="L683" s="56">
        <f t="shared" si="41"/>
        <v>0.96999999999999975</v>
      </c>
      <c r="M683" s="56" t="str">
        <f t="shared" si="42"/>
        <v/>
      </c>
      <c r="N683" s="56" t="str">
        <f t="shared" si="43"/>
        <v>OK</v>
      </c>
      <c r="O683" s="2"/>
      <c r="P683" s="27"/>
      <c r="Q683" s="2"/>
      <c r="R683" s="2"/>
    </row>
    <row r="684" spans="1:18" x14ac:dyDescent="0.35">
      <c r="A684" s="57">
        <v>762</v>
      </c>
      <c r="B684" s="57" t="s">
        <v>14</v>
      </c>
      <c r="C684" s="57" t="s">
        <v>32</v>
      </c>
      <c r="D684" s="57" t="s">
        <v>18</v>
      </c>
      <c r="E684" s="57" t="s">
        <v>28</v>
      </c>
      <c r="F684" s="58">
        <v>2079.3200000000002</v>
      </c>
      <c r="G684" s="57">
        <v>15520</v>
      </c>
      <c r="H684" s="57">
        <v>15279</v>
      </c>
      <c r="I684" s="57">
        <v>256</v>
      </c>
      <c r="J684" s="58">
        <v>4096.2604000000001</v>
      </c>
      <c r="K684" s="55">
        <f t="shared" si="40"/>
        <v>0.96999999999999986</v>
      </c>
      <c r="L684" s="56">
        <f t="shared" si="41"/>
        <v>0.96999999999999986</v>
      </c>
      <c r="M684" s="56" t="str">
        <f t="shared" si="42"/>
        <v/>
      </c>
      <c r="N684" s="56" t="str">
        <f t="shared" si="43"/>
        <v>OK</v>
      </c>
      <c r="O684" s="2"/>
      <c r="P684" s="27"/>
      <c r="Q684" s="2"/>
      <c r="R684" s="2"/>
    </row>
    <row r="685" spans="1:18" x14ac:dyDescent="0.35">
      <c r="A685" s="53">
        <v>193</v>
      </c>
      <c r="B685" s="53" t="s">
        <v>11</v>
      </c>
      <c r="C685" s="53" t="s">
        <v>32</v>
      </c>
      <c r="D685" s="53" t="s">
        <v>20</v>
      </c>
      <c r="E685" s="53" t="s">
        <v>28</v>
      </c>
      <c r="F685" s="54">
        <v>39569.199999999997</v>
      </c>
      <c r="G685" s="53">
        <v>218859</v>
      </c>
      <c r="H685" s="53">
        <v>7482</v>
      </c>
      <c r="I685" s="53">
        <v>694</v>
      </c>
      <c r="J685" s="54">
        <v>77951.323999999993</v>
      </c>
      <c r="K685" s="55">
        <f t="shared" si="40"/>
        <v>0.97</v>
      </c>
      <c r="L685" s="56">
        <f t="shared" si="41"/>
        <v>0.97</v>
      </c>
      <c r="M685" s="56" t="str">
        <f t="shared" si="42"/>
        <v/>
      </c>
      <c r="N685" s="56" t="str">
        <f t="shared" si="43"/>
        <v>OK</v>
      </c>
      <c r="O685" s="2"/>
      <c r="P685" s="27"/>
      <c r="Q685" s="2"/>
      <c r="R685" s="2"/>
    </row>
    <row r="686" spans="1:18" x14ac:dyDescent="0.35">
      <c r="A686" s="57">
        <v>76</v>
      </c>
      <c r="B686" s="57" t="s">
        <v>14</v>
      </c>
      <c r="C686" s="57" t="s">
        <v>32</v>
      </c>
      <c r="D686" s="57" t="s">
        <v>20</v>
      </c>
      <c r="E686" s="57" t="s">
        <v>24</v>
      </c>
      <c r="F686" s="58">
        <v>28344.07</v>
      </c>
      <c r="G686" s="57">
        <v>716673</v>
      </c>
      <c r="H686" s="57">
        <v>2835</v>
      </c>
      <c r="I686" s="57">
        <v>120</v>
      </c>
      <c r="J686" s="58">
        <v>55837.817900000002</v>
      </c>
      <c r="K686" s="55">
        <f t="shared" si="40"/>
        <v>0.97000000000000008</v>
      </c>
      <c r="L686" s="56">
        <f t="shared" si="41"/>
        <v>0.97000000000000008</v>
      </c>
      <c r="M686" s="56" t="str">
        <f t="shared" si="42"/>
        <v/>
      </c>
      <c r="N686" s="56" t="str">
        <f t="shared" si="43"/>
        <v>OK</v>
      </c>
      <c r="O686" s="2"/>
      <c r="P686" s="27"/>
      <c r="Q686" s="2"/>
      <c r="R686" s="2"/>
    </row>
    <row r="687" spans="1:18" x14ac:dyDescent="0.35">
      <c r="A687" s="53">
        <v>673</v>
      </c>
      <c r="B687" s="53" t="s">
        <v>10</v>
      </c>
      <c r="C687" s="53" t="s">
        <v>31</v>
      </c>
      <c r="D687" s="53" t="s">
        <v>19</v>
      </c>
      <c r="E687" s="53" t="s">
        <v>29</v>
      </c>
      <c r="F687" s="54">
        <v>48510.78</v>
      </c>
      <c r="G687" s="53">
        <v>307986</v>
      </c>
      <c r="H687" s="53">
        <v>1101</v>
      </c>
      <c r="I687" s="53">
        <v>843</v>
      </c>
      <c r="J687" s="54">
        <v>95566.236600000004</v>
      </c>
      <c r="K687" s="55">
        <f t="shared" si="40"/>
        <v>0.97000000000000008</v>
      </c>
      <c r="L687" s="56" t="str">
        <f t="shared" si="41"/>
        <v/>
      </c>
      <c r="M687" s="56">
        <f t="shared" si="42"/>
        <v>0.97000000000000008</v>
      </c>
      <c r="N687" s="56" t="str">
        <f t="shared" si="43"/>
        <v>OK</v>
      </c>
      <c r="O687" s="2"/>
      <c r="P687" s="27"/>
      <c r="Q687" s="2"/>
      <c r="R687" s="2"/>
    </row>
    <row r="688" spans="1:18" x14ac:dyDescent="0.35">
      <c r="A688" s="53">
        <v>729</v>
      </c>
      <c r="B688" s="53" t="s">
        <v>15</v>
      </c>
      <c r="C688" s="53" t="s">
        <v>32</v>
      </c>
      <c r="D688" s="53" t="s">
        <v>21</v>
      </c>
      <c r="E688" s="53" t="s">
        <v>29</v>
      </c>
      <c r="F688" s="54">
        <v>46917.46</v>
      </c>
      <c r="G688" s="53">
        <v>27413</v>
      </c>
      <c r="H688" s="53">
        <v>1914</v>
      </c>
      <c r="I688" s="53">
        <v>1897</v>
      </c>
      <c r="J688" s="54">
        <v>92427.396200000003</v>
      </c>
      <c r="K688" s="55">
        <f t="shared" si="40"/>
        <v>0.97000000000000008</v>
      </c>
      <c r="L688" s="56">
        <f t="shared" si="41"/>
        <v>0.97000000000000008</v>
      </c>
      <c r="M688" s="56" t="str">
        <f t="shared" si="42"/>
        <v/>
      </c>
      <c r="N688" s="56" t="str">
        <f t="shared" si="43"/>
        <v>OK</v>
      </c>
      <c r="O688" s="2"/>
      <c r="P688" s="27"/>
      <c r="Q688" s="2"/>
      <c r="R688" s="2"/>
    </row>
    <row r="689" spans="1:18" x14ac:dyDescent="0.35">
      <c r="A689" s="53">
        <v>5</v>
      </c>
      <c r="B689" s="53" t="s">
        <v>9</v>
      </c>
      <c r="C689" s="53" t="s">
        <v>31</v>
      </c>
      <c r="D689" s="53" t="s">
        <v>17</v>
      </c>
      <c r="E689" s="53" t="s">
        <v>28</v>
      </c>
      <c r="F689" s="54">
        <v>26218.22</v>
      </c>
      <c r="G689" s="53">
        <v>448458</v>
      </c>
      <c r="H689" s="53">
        <v>19059</v>
      </c>
      <c r="I689" s="53">
        <v>1544</v>
      </c>
      <c r="J689" s="54">
        <v>51912.075599999996</v>
      </c>
      <c r="K689" s="55">
        <f t="shared" si="40"/>
        <v>0.97999999999999976</v>
      </c>
      <c r="L689" s="56" t="str">
        <f t="shared" si="41"/>
        <v/>
      </c>
      <c r="M689" s="56">
        <f t="shared" si="42"/>
        <v>0.97999999999999976</v>
      </c>
      <c r="N689" s="56" t="str">
        <f t="shared" si="43"/>
        <v>OK</v>
      </c>
      <c r="O689" s="2"/>
      <c r="P689" s="27"/>
      <c r="Q689" s="2"/>
      <c r="R689" s="2"/>
    </row>
    <row r="690" spans="1:18" x14ac:dyDescent="0.35">
      <c r="A690" s="53">
        <v>461</v>
      </c>
      <c r="B690" s="53" t="s">
        <v>14</v>
      </c>
      <c r="C690" s="53" t="s">
        <v>32</v>
      </c>
      <c r="D690" s="53" t="s">
        <v>19</v>
      </c>
      <c r="E690" s="53" t="s">
        <v>29</v>
      </c>
      <c r="F690" s="54">
        <v>12475.04</v>
      </c>
      <c r="G690" s="53">
        <v>360373</v>
      </c>
      <c r="H690" s="53">
        <v>1351</v>
      </c>
      <c r="I690" s="53">
        <v>1498</v>
      </c>
      <c r="J690" s="54">
        <v>24700.5792</v>
      </c>
      <c r="K690" s="55">
        <f t="shared" si="40"/>
        <v>0.97999999999999987</v>
      </c>
      <c r="L690" s="56">
        <f t="shared" si="41"/>
        <v>0.97999999999999987</v>
      </c>
      <c r="M690" s="56" t="str">
        <f t="shared" si="42"/>
        <v/>
      </c>
      <c r="N690" s="56" t="str">
        <f t="shared" si="43"/>
        <v>ERROR: Conversions &gt; Clicks</v>
      </c>
      <c r="O690" s="2"/>
      <c r="P690" s="27"/>
      <c r="Q690" s="2"/>
      <c r="R690" s="2"/>
    </row>
    <row r="691" spans="1:18" x14ac:dyDescent="0.35">
      <c r="A691" s="53">
        <v>979</v>
      </c>
      <c r="B691" s="53" t="s">
        <v>13</v>
      </c>
      <c r="C691" s="53" t="s">
        <v>32</v>
      </c>
      <c r="D691" s="53" t="s">
        <v>20</v>
      </c>
      <c r="E691" s="53" t="s">
        <v>28</v>
      </c>
      <c r="F691" s="54">
        <v>25413.56</v>
      </c>
      <c r="G691" s="53">
        <v>883030</v>
      </c>
      <c r="H691" s="53">
        <v>4751</v>
      </c>
      <c r="I691" s="53">
        <v>1720</v>
      </c>
      <c r="J691" s="54">
        <v>50318.8488</v>
      </c>
      <c r="K691" s="55">
        <f t="shared" si="40"/>
        <v>0.97999999999999987</v>
      </c>
      <c r="L691" s="56">
        <f t="shared" si="41"/>
        <v>0.97999999999999987</v>
      </c>
      <c r="M691" s="56" t="str">
        <f t="shared" si="42"/>
        <v/>
      </c>
      <c r="N691" s="56" t="str">
        <f t="shared" si="43"/>
        <v>OK</v>
      </c>
      <c r="O691" s="2"/>
      <c r="P691" s="27"/>
      <c r="Q691" s="2"/>
      <c r="R691" s="2"/>
    </row>
    <row r="692" spans="1:18" x14ac:dyDescent="0.35">
      <c r="A692" s="53">
        <v>255</v>
      </c>
      <c r="B692" s="53" t="s">
        <v>11</v>
      </c>
      <c r="C692" s="53" t="s">
        <v>32</v>
      </c>
      <c r="D692" s="53" t="s">
        <v>17</v>
      </c>
      <c r="E692" s="53" t="s">
        <v>25</v>
      </c>
      <c r="F692" s="54">
        <v>39905.5</v>
      </c>
      <c r="G692" s="53">
        <v>445928</v>
      </c>
      <c r="H692" s="53">
        <v>2111</v>
      </c>
      <c r="I692" s="53">
        <v>1316</v>
      </c>
      <c r="J692" s="54">
        <v>79012.89</v>
      </c>
      <c r="K692" s="55">
        <f t="shared" si="40"/>
        <v>0.98</v>
      </c>
      <c r="L692" s="56">
        <f t="shared" si="41"/>
        <v>0.98</v>
      </c>
      <c r="M692" s="56" t="str">
        <f t="shared" si="42"/>
        <v/>
      </c>
      <c r="N692" s="56" t="str">
        <f t="shared" si="43"/>
        <v>OK</v>
      </c>
      <c r="O692" s="2"/>
      <c r="P692" s="27"/>
      <c r="Q692" s="2"/>
      <c r="R692" s="2"/>
    </row>
    <row r="693" spans="1:18" x14ac:dyDescent="0.35">
      <c r="A693" s="57">
        <v>348</v>
      </c>
      <c r="B693" s="57" t="s">
        <v>12</v>
      </c>
      <c r="C693" s="57" t="s">
        <v>32</v>
      </c>
      <c r="D693" s="57" t="s">
        <v>17</v>
      </c>
      <c r="E693" s="57" t="s">
        <v>29</v>
      </c>
      <c r="F693" s="58">
        <v>37243.89</v>
      </c>
      <c r="G693" s="57">
        <v>210339</v>
      </c>
      <c r="H693" s="57">
        <v>11101</v>
      </c>
      <c r="I693" s="57">
        <v>1219</v>
      </c>
      <c r="J693" s="58">
        <v>73742.902199999997</v>
      </c>
      <c r="K693" s="55">
        <f t="shared" si="40"/>
        <v>0.98</v>
      </c>
      <c r="L693" s="56">
        <f t="shared" si="41"/>
        <v>0.98</v>
      </c>
      <c r="M693" s="56" t="str">
        <f t="shared" si="42"/>
        <v/>
      </c>
      <c r="N693" s="56" t="str">
        <f t="shared" si="43"/>
        <v>OK</v>
      </c>
      <c r="O693" s="2"/>
      <c r="P693" s="27"/>
      <c r="Q693" s="2"/>
      <c r="R693" s="2"/>
    </row>
    <row r="694" spans="1:18" x14ac:dyDescent="0.35">
      <c r="A694" s="53">
        <v>185</v>
      </c>
      <c r="B694" s="53" t="s">
        <v>11</v>
      </c>
      <c r="C694" s="53" t="s">
        <v>32</v>
      </c>
      <c r="D694" s="53" t="s">
        <v>19</v>
      </c>
      <c r="E694" s="53" t="s">
        <v>25</v>
      </c>
      <c r="F694" s="54">
        <v>46208.53</v>
      </c>
      <c r="G694" s="53">
        <v>357220</v>
      </c>
      <c r="H694" s="53">
        <v>5121</v>
      </c>
      <c r="I694" s="53">
        <v>357</v>
      </c>
      <c r="J694" s="54">
        <v>91492.8894</v>
      </c>
      <c r="K694" s="55">
        <f t="shared" si="40"/>
        <v>0.98000000000000009</v>
      </c>
      <c r="L694" s="56">
        <f t="shared" si="41"/>
        <v>0.98000000000000009</v>
      </c>
      <c r="M694" s="56" t="str">
        <f t="shared" si="42"/>
        <v/>
      </c>
      <c r="N694" s="56" t="str">
        <f t="shared" si="43"/>
        <v>OK</v>
      </c>
      <c r="O694" s="2"/>
      <c r="P694" s="27"/>
      <c r="Q694" s="2"/>
      <c r="R694" s="2"/>
    </row>
    <row r="695" spans="1:18" x14ac:dyDescent="0.35">
      <c r="A695" s="57">
        <v>484</v>
      </c>
      <c r="B695" s="57" t="s">
        <v>10</v>
      </c>
      <c r="C695" s="57" t="s">
        <v>31</v>
      </c>
      <c r="D695" s="57" t="s">
        <v>18</v>
      </c>
      <c r="E695" s="57" t="s">
        <v>26</v>
      </c>
      <c r="F695" s="58">
        <v>27313.37</v>
      </c>
      <c r="G695" s="57">
        <v>747090</v>
      </c>
      <c r="H695" s="57">
        <v>5798</v>
      </c>
      <c r="I695" s="57">
        <v>1477</v>
      </c>
      <c r="J695" s="58">
        <v>54080.472600000001</v>
      </c>
      <c r="K695" s="55">
        <f t="shared" si="40"/>
        <v>0.98000000000000009</v>
      </c>
      <c r="L695" s="56" t="str">
        <f t="shared" si="41"/>
        <v/>
      </c>
      <c r="M695" s="56">
        <f t="shared" si="42"/>
        <v>0.98000000000000009</v>
      </c>
      <c r="N695" s="56" t="str">
        <f t="shared" si="43"/>
        <v>OK</v>
      </c>
      <c r="O695" s="2"/>
      <c r="P695" s="27"/>
      <c r="Q695" s="2"/>
      <c r="R695" s="2"/>
    </row>
    <row r="696" spans="1:18" x14ac:dyDescent="0.35">
      <c r="A696" s="57">
        <v>168</v>
      </c>
      <c r="B696" s="57" t="s">
        <v>8</v>
      </c>
      <c r="C696" s="57" t="s">
        <v>31</v>
      </c>
      <c r="D696" s="57" t="s">
        <v>22</v>
      </c>
      <c r="E696" s="57" t="s">
        <v>25</v>
      </c>
      <c r="F696" s="58">
        <v>12051.53</v>
      </c>
      <c r="G696" s="57">
        <v>965230</v>
      </c>
      <c r="H696" s="57">
        <v>16690</v>
      </c>
      <c r="I696" s="57">
        <v>800</v>
      </c>
      <c r="J696" s="58">
        <v>23982.544699999999</v>
      </c>
      <c r="K696" s="55">
        <f t="shared" si="40"/>
        <v>0.98999999999999977</v>
      </c>
      <c r="L696" s="56" t="str">
        <f t="shared" si="41"/>
        <v/>
      </c>
      <c r="M696" s="56">
        <f t="shared" si="42"/>
        <v>0.98999999999999977</v>
      </c>
      <c r="N696" s="56" t="str">
        <f t="shared" si="43"/>
        <v>OK</v>
      </c>
      <c r="O696" s="2"/>
      <c r="P696" s="27"/>
      <c r="Q696" s="2"/>
      <c r="R696" s="2"/>
    </row>
    <row r="697" spans="1:18" x14ac:dyDescent="0.35">
      <c r="A697" s="53">
        <v>151</v>
      </c>
      <c r="B697" s="53" t="s">
        <v>9</v>
      </c>
      <c r="C697" s="53" t="s">
        <v>31</v>
      </c>
      <c r="D697" s="53" t="s">
        <v>20</v>
      </c>
      <c r="E697" s="53" t="s">
        <v>26</v>
      </c>
      <c r="F697" s="54">
        <v>34609.65</v>
      </c>
      <c r="G697" s="53">
        <v>696268</v>
      </c>
      <c r="H697" s="53">
        <v>18989</v>
      </c>
      <c r="I697" s="53">
        <v>127</v>
      </c>
      <c r="J697" s="54">
        <v>68873.203500000003</v>
      </c>
      <c r="K697" s="55">
        <f t="shared" si="40"/>
        <v>0.99</v>
      </c>
      <c r="L697" s="56" t="str">
        <f t="shared" si="41"/>
        <v/>
      </c>
      <c r="M697" s="56">
        <f t="shared" si="42"/>
        <v>0.99</v>
      </c>
      <c r="N697" s="56" t="str">
        <f t="shared" si="43"/>
        <v>OK</v>
      </c>
      <c r="O697" s="2"/>
      <c r="P697" s="27"/>
      <c r="Q697" s="2"/>
      <c r="R697" s="2"/>
    </row>
    <row r="698" spans="1:18" x14ac:dyDescent="0.35">
      <c r="A698" s="53">
        <v>313</v>
      </c>
      <c r="B698" s="53" t="s">
        <v>12</v>
      </c>
      <c r="C698" s="53" t="s">
        <v>32</v>
      </c>
      <c r="D698" s="53" t="s">
        <v>20</v>
      </c>
      <c r="E698" s="53" t="s">
        <v>27</v>
      </c>
      <c r="F698" s="54">
        <v>49432.38</v>
      </c>
      <c r="G698" s="53">
        <v>815351</v>
      </c>
      <c r="H698" s="53">
        <v>14000</v>
      </c>
      <c r="I698" s="53">
        <v>1575</v>
      </c>
      <c r="J698" s="54">
        <v>98370.436199999996</v>
      </c>
      <c r="K698" s="55">
        <f t="shared" si="40"/>
        <v>0.99</v>
      </c>
      <c r="L698" s="56">
        <f t="shared" si="41"/>
        <v>0.99</v>
      </c>
      <c r="M698" s="56" t="str">
        <f t="shared" si="42"/>
        <v/>
      </c>
      <c r="N698" s="56" t="str">
        <f t="shared" si="43"/>
        <v>OK</v>
      </c>
      <c r="O698" s="2"/>
      <c r="P698" s="27"/>
      <c r="Q698" s="2"/>
      <c r="R698" s="2"/>
    </row>
    <row r="699" spans="1:18" x14ac:dyDescent="0.35">
      <c r="A699" s="53">
        <v>923</v>
      </c>
      <c r="B699" s="53" t="s">
        <v>11</v>
      </c>
      <c r="C699" s="53" t="s">
        <v>32</v>
      </c>
      <c r="D699" s="53" t="s">
        <v>20</v>
      </c>
      <c r="E699" s="53" t="s">
        <v>27</v>
      </c>
      <c r="F699" s="54">
        <v>29528.23</v>
      </c>
      <c r="G699" s="53">
        <v>513516</v>
      </c>
      <c r="H699" s="53">
        <v>5643</v>
      </c>
      <c r="I699" s="53">
        <v>575</v>
      </c>
      <c r="J699" s="54">
        <v>58761.1777</v>
      </c>
      <c r="K699" s="55">
        <f t="shared" si="40"/>
        <v>0.99</v>
      </c>
      <c r="L699" s="56">
        <f t="shared" si="41"/>
        <v>0.99</v>
      </c>
      <c r="M699" s="56" t="str">
        <f t="shared" si="42"/>
        <v/>
      </c>
      <c r="N699" s="56" t="str">
        <f t="shared" si="43"/>
        <v>OK</v>
      </c>
      <c r="O699" s="2"/>
      <c r="P699" s="27"/>
      <c r="Q699" s="2"/>
      <c r="R699" s="2"/>
    </row>
    <row r="700" spans="1:18" x14ac:dyDescent="0.35">
      <c r="A700" s="53">
        <v>59</v>
      </c>
      <c r="B700" s="53" t="s">
        <v>9</v>
      </c>
      <c r="C700" s="53" t="s">
        <v>31</v>
      </c>
      <c r="D700" s="53" t="s">
        <v>21</v>
      </c>
      <c r="E700" s="53" t="s">
        <v>24</v>
      </c>
      <c r="F700" s="54">
        <v>34579.599999999999</v>
      </c>
      <c r="G700" s="53">
        <v>378226</v>
      </c>
      <c r="H700" s="53">
        <v>19359</v>
      </c>
      <c r="I700" s="53">
        <v>285</v>
      </c>
      <c r="J700" s="54">
        <v>69159.199999999997</v>
      </c>
      <c r="K700" s="55">
        <f t="shared" si="40"/>
        <v>1</v>
      </c>
      <c r="L700" s="56" t="str">
        <f t="shared" si="41"/>
        <v/>
      </c>
      <c r="M700" s="56">
        <f t="shared" si="42"/>
        <v>1</v>
      </c>
      <c r="N700" s="56" t="str">
        <f t="shared" si="43"/>
        <v>OK</v>
      </c>
      <c r="O700" s="2"/>
      <c r="P700" s="27"/>
      <c r="Q700" s="2"/>
      <c r="R700" s="2"/>
    </row>
    <row r="701" spans="1:18" x14ac:dyDescent="0.35">
      <c r="A701" s="53">
        <v>171</v>
      </c>
      <c r="B701" s="53" t="s">
        <v>13</v>
      </c>
      <c r="C701" s="53" t="s">
        <v>32</v>
      </c>
      <c r="D701" s="53" t="s">
        <v>22</v>
      </c>
      <c r="E701" s="53" t="s">
        <v>29</v>
      </c>
      <c r="F701" s="54">
        <v>24564.39</v>
      </c>
      <c r="G701" s="53">
        <v>722509</v>
      </c>
      <c r="H701" s="53">
        <v>4727</v>
      </c>
      <c r="I701" s="53">
        <v>756</v>
      </c>
      <c r="J701" s="54">
        <v>49128.78</v>
      </c>
      <c r="K701" s="55">
        <f t="shared" si="40"/>
        <v>1</v>
      </c>
      <c r="L701" s="56">
        <f t="shared" si="41"/>
        <v>1</v>
      </c>
      <c r="M701" s="56" t="str">
        <f t="shared" si="42"/>
        <v/>
      </c>
      <c r="N701" s="56" t="str">
        <f t="shared" si="43"/>
        <v>OK</v>
      </c>
      <c r="O701" s="2"/>
      <c r="P701" s="27"/>
      <c r="Q701" s="2"/>
      <c r="R701" s="2"/>
    </row>
    <row r="702" spans="1:18" x14ac:dyDescent="0.35">
      <c r="A702" s="53">
        <v>343</v>
      </c>
      <c r="B702" s="53" t="s">
        <v>9</v>
      </c>
      <c r="C702" s="53" t="s">
        <v>31</v>
      </c>
      <c r="D702" s="53" t="s">
        <v>21</v>
      </c>
      <c r="E702" s="53" t="s">
        <v>28</v>
      </c>
      <c r="F702" s="54">
        <v>6534.22</v>
      </c>
      <c r="G702" s="53">
        <v>718175</v>
      </c>
      <c r="H702" s="53">
        <v>16832</v>
      </c>
      <c r="I702" s="53">
        <v>1716</v>
      </c>
      <c r="J702" s="54">
        <v>13068.44</v>
      </c>
      <c r="K702" s="55">
        <f t="shared" si="40"/>
        <v>1</v>
      </c>
      <c r="L702" s="56" t="str">
        <f t="shared" si="41"/>
        <v/>
      </c>
      <c r="M702" s="56">
        <f t="shared" si="42"/>
        <v>1</v>
      </c>
      <c r="N702" s="56" t="str">
        <f t="shared" si="43"/>
        <v>OK</v>
      </c>
      <c r="O702" s="2"/>
      <c r="P702" s="27"/>
      <c r="Q702" s="2"/>
      <c r="R702" s="2"/>
    </row>
    <row r="703" spans="1:18" x14ac:dyDescent="0.35">
      <c r="A703" s="53">
        <v>359</v>
      </c>
      <c r="B703" s="53" t="s">
        <v>11</v>
      </c>
      <c r="C703" s="53" t="s">
        <v>32</v>
      </c>
      <c r="D703" s="53" t="s">
        <v>21</v>
      </c>
      <c r="E703" s="53" t="s">
        <v>24</v>
      </c>
      <c r="F703" s="54">
        <v>6210.84</v>
      </c>
      <c r="G703" s="53">
        <v>399959</v>
      </c>
      <c r="H703" s="53">
        <v>19463</v>
      </c>
      <c r="I703" s="53">
        <v>890</v>
      </c>
      <c r="J703" s="54">
        <v>12421.68</v>
      </c>
      <c r="K703" s="55">
        <f t="shared" si="40"/>
        <v>1</v>
      </c>
      <c r="L703" s="56">
        <f t="shared" si="41"/>
        <v>1</v>
      </c>
      <c r="M703" s="56" t="str">
        <f t="shared" si="42"/>
        <v/>
      </c>
      <c r="N703" s="56" t="str">
        <f t="shared" si="43"/>
        <v>OK</v>
      </c>
      <c r="O703" s="2"/>
      <c r="P703" s="27"/>
      <c r="Q703" s="2"/>
      <c r="R703" s="2"/>
    </row>
    <row r="704" spans="1:18" x14ac:dyDescent="0.35">
      <c r="A704" s="53">
        <v>611</v>
      </c>
      <c r="B704" s="53" t="s">
        <v>15</v>
      </c>
      <c r="C704" s="53" t="s">
        <v>32</v>
      </c>
      <c r="D704" s="53" t="s">
        <v>18</v>
      </c>
      <c r="E704" s="53" t="s">
        <v>28</v>
      </c>
      <c r="F704" s="54">
        <v>20376.28</v>
      </c>
      <c r="G704" s="53">
        <v>797301</v>
      </c>
      <c r="H704" s="53">
        <v>7484</v>
      </c>
      <c r="I704" s="53">
        <v>1622</v>
      </c>
      <c r="J704" s="54">
        <v>40752.559999999998</v>
      </c>
      <c r="K704" s="55">
        <f t="shared" si="40"/>
        <v>1</v>
      </c>
      <c r="L704" s="56">
        <f t="shared" si="41"/>
        <v>1</v>
      </c>
      <c r="M704" s="56" t="str">
        <f t="shared" si="42"/>
        <v/>
      </c>
      <c r="N704" s="56" t="str">
        <f t="shared" si="43"/>
        <v>OK</v>
      </c>
      <c r="O704" s="2"/>
      <c r="P704" s="27"/>
      <c r="Q704" s="2"/>
      <c r="R704" s="2"/>
    </row>
    <row r="705" spans="1:18" x14ac:dyDescent="0.35">
      <c r="A705" s="53">
        <v>703</v>
      </c>
      <c r="B705" s="53" t="s">
        <v>11</v>
      </c>
      <c r="C705" s="53" t="s">
        <v>32</v>
      </c>
      <c r="D705" s="53" t="s">
        <v>19</v>
      </c>
      <c r="E705" s="53" t="s">
        <v>26</v>
      </c>
      <c r="F705" s="54">
        <v>2508.71</v>
      </c>
      <c r="G705" s="53">
        <v>495687</v>
      </c>
      <c r="H705" s="53">
        <v>4062</v>
      </c>
      <c r="I705" s="53">
        <v>1948</v>
      </c>
      <c r="J705" s="54">
        <v>5017.42</v>
      </c>
      <c r="K705" s="55">
        <f t="shared" si="40"/>
        <v>1</v>
      </c>
      <c r="L705" s="56">
        <f t="shared" si="41"/>
        <v>1</v>
      </c>
      <c r="M705" s="56" t="str">
        <f t="shared" si="42"/>
        <v/>
      </c>
      <c r="N705" s="56" t="str">
        <f t="shared" si="43"/>
        <v>OK</v>
      </c>
      <c r="O705" s="2"/>
      <c r="P705" s="27"/>
      <c r="Q705" s="2"/>
      <c r="R705" s="2"/>
    </row>
    <row r="706" spans="1:18" x14ac:dyDescent="0.35">
      <c r="A706" s="53">
        <v>713</v>
      </c>
      <c r="B706" s="53" t="s">
        <v>11</v>
      </c>
      <c r="C706" s="53" t="s">
        <v>32</v>
      </c>
      <c r="D706" s="53" t="s">
        <v>21</v>
      </c>
      <c r="E706" s="53" t="s">
        <v>24</v>
      </c>
      <c r="F706" s="54">
        <v>32579.040000000001</v>
      </c>
      <c r="G706" s="53">
        <v>777286</v>
      </c>
      <c r="H706" s="53">
        <v>9270</v>
      </c>
      <c r="I706" s="53">
        <v>1948</v>
      </c>
      <c r="J706" s="54">
        <v>65158.080000000002</v>
      </c>
      <c r="K706" s="55">
        <f t="shared" ref="K706:K769" si="44">(J706-F706)/F706</f>
        <v>1</v>
      </c>
      <c r="L706" s="56">
        <f t="shared" ref="L706:L769" si="45">IF(C706="Digital",K706,"")</f>
        <v>1</v>
      </c>
      <c r="M706" s="56" t="str">
        <f t="shared" ref="M706:M769" si="46">IF(C706="Traditional",K706,"")</f>
        <v/>
      </c>
      <c r="N706" s="56" t="str">
        <f t="shared" ref="N706:N769" si="47">IF(H706&gt;G706,"ERROR: Clicks &gt; Impressions",IF(I706&gt;H706,"ERROR: Conversions &gt; Clicks","OK"))</f>
        <v>OK</v>
      </c>
      <c r="O706" s="2"/>
      <c r="P706" s="27"/>
      <c r="Q706" s="2"/>
      <c r="R706" s="2"/>
    </row>
    <row r="707" spans="1:18" x14ac:dyDescent="0.35">
      <c r="A707" s="57">
        <v>360</v>
      </c>
      <c r="B707" s="57" t="s">
        <v>9</v>
      </c>
      <c r="C707" s="57" t="s">
        <v>31</v>
      </c>
      <c r="D707" s="57" t="s">
        <v>21</v>
      </c>
      <c r="E707" s="57" t="s">
        <v>29</v>
      </c>
      <c r="F707" s="58">
        <v>16431.060000000001</v>
      </c>
      <c r="G707" s="57">
        <v>971030</v>
      </c>
      <c r="H707" s="57">
        <v>12868</v>
      </c>
      <c r="I707" s="57">
        <v>1131</v>
      </c>
      <c r="J707" s="58">
        <v>33026.4306</v>
      </c>
      <c r="K707" s="55">
        <f t="shared" si="44"/>
        <v>1.0099999999999998</v>
      </c>
      <c r="L707" s="56" t="str">
        <f t="shared" si="45"/>
        <v/>
      </c>
      <c r="M707" s="56">
        <f t="shared" si="46"/>
        <v>1.0099999999999998</v>
      </c>
      <c r="N707" s="56" t="str">
        <f t="shared" si="47"/>
        <v>OK</v>
      </c>
      <c r="O707" s="2"/>
      <c r="P707" s="27"/>
      <c r="Q707" s="2"/>
      <c r="R707" s="2"/>
    </row>
    <row r="708" spans="1:18" x14ac:dyDescent="0.35">
      <c r="A708" s="57">
        <v>824</v>
      </c>
      <c r="B708" s="57" t="s">
        <v>8</v>
      </c>
      <c r="C708" s="57" t="s">
        <v>31</v>
      </c>
      <c r="D708" s="57" t="s">
        <v>18</v>
      </c>
      <c r="E708" s="57" t="s">
        <v>25</v>
      </c>
      <c r="F708" s="58">
        <v>13457.34</v>
      </c>
      <c r="G708" s="57">
        <v>698332</v>
      </c>
      <c r="H708" s="57">
        <v>1910</v>
      </c>
      <c r="I708" s="57">
        <v>1216</v>
      </c>
      <c r="J708" s="58">
        <v>27049.253400000001</v>
      </c>
      <c r="K708" s="55">
        <f t="shared" si="44"/>
        <v>1.01</v>
      </c>
      <c r="L708" s="56" t="str">
        <f t="shared" si="45"/>
        <v/>
      </c>
      <c r="M708" s="56">
        <f t="shared" si="46"/>
        <v>1.01</v>
      </c>
      <c r="N708" s="56" t="str">
        <f t="shared" si="47"/>
        <v>OK</v>
      </c>
      <c r="O708" s="2"/>
      <c r="P708" s="27"/>
      <c r="Q708" s="2"/>
      <c r="R708" s="2"/>
    </row>
    <row r="709" spans="1:18" x14ac:dyDescent="0.35">
      <c r="A709" s="57">
        <v>64</v>
      </c>
      <c r="B709" s="57" t="s">
        <v>11</v>
      </c>
      <c r="C709" s="57" t="s">
        <v>32</v>
      </c>
      <c r="D709" s="57" t="s">
        <v>22</v>
      </c>
      <c r="E709" s="57" t="s">
        <v>27</v>
      </c>
      <c r="F709" s="58">
        <v>17776.8</v>
      </c>
      <c r="G709" s="57">
        <v>815581</v>
      </c>
      <c r="H709" s="57">
        <v>465</v>
      </c>
      <c r="I709" s="57">
        <v>1820</v>
      </c>
      <c r="J709" s="58">
        <v>35731.368000000002</v>
      </c>
      <c r="K709" s="55">
        <f t="shared" si="44"/>
        <v>1.0100000000000002</v>
      </c>
      <c r="L709" s="56">
        <f t="shared" si="45"/>
        <v>1.0100000000000002</v>
      </c>
      <c r="M709" s="56" t="str">
        <f t="shared" si="46"/>
        <v/>
      </c>
      <c r="N709" s="56" t="str">
        <f t="shared" si="47"/>
        <v>ERROR: Conversions &gt; Clicks</v>
      </c>
      <c r="O709" s="2"/>
      <c r="P709" s="27"/>
      <c r="Q709" s="2"/>
      <c r="R709" s="2"/>
    </row>
    <row r="710" spans="1:18" x14ac:dyDescent="0.35">
      <c r="A710" s="53">
        <v>117</v>
      </c>
      <c r="B710" s="53" t="s">
        <v>11</v>
      </c>
      <c r="C710" s="53" t="s">
        <v>32</v>
      </c>
      <c r="D710" s="53" t="s">
        <v>21</v>
      </c>
      <c r="E710" s="53" t="s">
        <v>29</v>
      </c>
      <c r="F710" s="54">
        <v>43838.86</v>
      </c>
      <c r="G710" s="53">
        <v>279956</v>
      </c>
      <c r="H710" s="53">
        <v>3621</v>
      </c>
      <c r="I710" s="53">
        <v>1971</v>
      </c>
      <c r="J710" s="54">
        <v>88116.108600000007</v>
      </c>
      <c r="K710" s="55">
        <f t="shared" si="44"/>
        <v>1.0100000000000002</v>
      </c>
      <c r="L710" s="56">
        <f t="shared" si="45"/>
        <v>1.0100000000000002</v>
      </c>
      <c r="M710" s="56" t="str">
        <f t="shared" si="46"/>
        <v/>
      </c>
      <c r="N710" s="56" t="str">
        <f t="shared" si="47"/>
        <v>OK</v>
      </c>
      <c r="O710" s="2"/>
      <c r="P710" s="27"/>
      <c r="Q710" s="2"/>
      <c r="R710" s="2"/>
    </row>
    <row r="711" spans="1:18" x14ac:dyDescent="0.35">
      <c r="A711" s="57">
        <v>204</v>
      </c>
      <c r="B711" s="57" t="s">
        <v>11</v>
      </c>
      <c r="C711" s="57" t="s">
        <v>32</v>
      </c>
      <c r="D711" s="57" t="s">
        <v>21</v>
      </c>
      <c r="E711" s="57" t="s">
        <v>25</v>
      </c>
      <c r="F711" s="58">
        <v>17950.099999999999</v>
      </c>
      <c r="G711" s="57">
        <v>61001</v>
      </c>
      <c r="H711" s="57">
        <v>9176</v>
      </c>
      <c r="I711" s="57">
        <v>1279</v>
      </c>
      <c r="J711" s="58">
        <v>36079.701000000001</v>
      </c>
      <c r="K711" s="55">
        <f t="shared" si="44"/>
        <v>1.0100000000000002</v>
      </c>
      <c r="L711" s="56">
        <f t="shared" si="45"/>
        <v>1.0100000000000002</v>
      </c>
      <c r="M711" s="56" t="str">
        <f t="shared" si="46"/>
        <v/>
      </c>
      <c r="N711" s="56" t="str">
        <f t="shared" si="47"/>
        <v>OK</v>
      </c>
      <c r="O711" s="2"/>
      <c r="P711" s="27"/>
      <c r="Q711" s="2"/>
      <c r="R711" s="2"/>
    </row>
    <row r="712" spans="1:18" x14ac:dyDescent="0.35">
      <c r="A712" s="57">
        <v>232</v>
      </c>
      <c r="B712" s="57" t="s">
        <v>12</v>
      </c>
      <c r="C712" s="57" t="s">
        <v>32</v>
      </c>
      <c r="D712" s="57" t="s">
        <v>20</v>
      </c>
      <c r="E712" s="57" t="s">
        <v>27</v>
      </c>
      <c r="F712" s="58">
        <v>27710.17</v>
      </c>
      <c r="G712" s="57">
        <v>406489</v>
      </c>
      <c r="H712" s="57">
        <v>9375</v>
      </c>
      <c r="I712" s="57">
        <v>939</v>
      </c>
      <c r="J712" s="58">
        <v>55697.441700000003</v>
      </c>
      <c r="K712" s="55">
        <f t="shared" si="44"/>
        <v>1.0100000000000002</v>
      </c>
      <c r="L712" s="56">
        <f t="shared" si="45"/>
        <v>1.0100000000000002</v>
      </c>
      <c r="M712" s="56" t="str">
        <f t="shared" si="46"/>
        <v/>
      </c>
      <c r="N712" s="56" t="str">
        <f t="shared" si="47"/>
        <v>OK</v>
      </c>
      <c r="O712" s="2"/>
      <c r="P712" s="27"/>
      <c r="Q712" s="2"/>
      <c r="R712" s="2"/>
    </row>
    <row r="713" spans="1:18" x14ac:dyDescent="0.35">
      <c r="A713" s="53">
        <v>659</v>
      </c>
      <c r="B713" s="53" t="s">
        <v>12</v>
      </c>
      <c r="C713" s="53" t="s">
        <v>32</v>
      </c>
      <c r="D713" s="53" t="s">
        <v>21</v>
      </c>
      <c r="E713" s="53" t="s">
        <v>29</v>
      </c>
      <c r="F713" s="54">
        <v>35833.35</v>
      </c>
      <c r="G713" s="53">
        <v>803784</v>
      </c>
      <c r="H713" s="53">
        <v>5413</v>
      </c>
      <c r="I713" s="53">
        <v>1995</v>
      </c>
      <c r="J713" s="54">
        <v>72025.033500000005</v>
      </c>
      <c r="K713" s="55">
        <f t="shared" si="44"/>
        <v>1.0100000000000002</v>
      </c>
      <c r="L713" s="56">
        <f t="shared" si="45"/>
        <v>1.0100000000000002</v>
      </c>
      <c r="M713" s="56" t="str">
        <f t="shared" si="46"/>
        <v/>
      </c>
      <c r="N713" s="56" t="str">
        <f t="shared" si="47"/>
        <v>OK</v>
      </c>
      <c r="O713" s="2"/>
      <c r="P713" s="27"/>
      <c r="Q713" s="2"/>
      <c r="R713" s="2"/>
    </row>
    <row r="714" spans="1:18" x14ac:dyDescent="0.35">
      <c r="A714" s="57">
        <v>744</v>
      </c>
      <c r="B714" s="57" t="s">
        <v>15</v>
      </c>
      <c r="C714" s="57" t="s">
        <v>32</v>
      </c>
      <c r="D714" s="57" t="s">
        <v>20</v>
      </c>
      <c r="E714" s="57" t="s">
        <v>28</v>
      </c>
      <c r="F714" s="58">
        <v>35190.06</v>
      </c>
      <c r="G714" s="57">
        <v>288466</v>
      </c>
      <c r="H714" s="57">
        <v>1709</v>
      </c>
      <c r="I714" s="57">
        <v>1362</v>
      </c>
      <c r="J714" s="58">
        <v>70732.020600000003</v>
      </c>
      <c r="K714" s="55">
        <f t="shared" si="44"/>
        <v>1.0100000000000002</v>
      </c>
      <c r="L714" s="56">
        <f t="shared" si="45"/>
        <v>1.0100000000000002</v>
      </c>
      <c r="M714" s="56" t="str">
        <f t="shared" si="46"/>
        <v/>
      </c>
      <c r="N714" s="56" t="str">
        <f t="shared" si="47"/>
        <v>OK</v>
      </c>
      <c r="O714" s="2"/>
      <c r="P714" s="27"/>
      <c r="Q714" s="2"/>
      <c r="R714" s="2"/>
    </row>
    <row r="715" spans="1:18" x14ac:dyDescent="0.35">
      <c r="A715" s="53">
        <v>647</v>
      </c>
      <c r="B715" s="53" t="s">
        <v>15</v>
      </c>
      <c r="C715" s="53" t="s">
        <v>32</v>
      </c>
      <c r="D715" s="53" t="s">
        <v>18</v>
      </c>
      <c r="E715" s="53" t="s">
        <v>29</v>
      </c>
      <c r="F715" s="54">
        <v>8375.5499999999993</v>
      </c>
      <c r="G715" s="53">
        <v>664587</v>
      </c>
      <c r="H715" s="53">
        <v>7123</v>
      </c>
      <c r="I715" s="53">
        <v>1846</v>
      </c>
      <c r="J715" s="54">
        <v>16834.855500000001</v>
      </c>
      <c r="K715" s="55">
        <f t="shared" si="44"/>
        <v>1.0100000000000005</v>
      </c>
      <c r="L715" s="56">
        <f t="shared" si="45"/>
        <v>1.0100000000000005</v>
      </c>
      <c r="M715" s="56" t="str">
        <f t="shared" si="46"/>
        <v/>
      </c>
      <c r="N715" s="56" t="str">
        <f t="shared" si="47"/>
        <v>OK</v>
      </c>
      <c r="O715" s="2"/>
      <c r="P715" s="27"/>
      <c r="Q715" s="2"/>
      <c r="R715" s="2"/>
    </row>
    <row r="716" spans="1:18" x14ac:dyDescent="0.35">
      <c r="A716" s="57">
        <v>418</v>
      </c>
      <c r="B716" s="57" t="s">
        <v>14</v>
      </c>
      <c r="C716" s="57" t="s">
        <v>32</v>
      </c>
      <c r="D716" s="57" t="s">
        <v>19</v>
      </c>
      <c r="E716" s="57" t="s">
        <v>28</v>
      </c>
      <c r="F716" s="58">
        <v>4637.8</v>
      </c>
      <c r="G716" s="57">
        <v>244231</v>
      </c>
      <c r="H716" s="57">
        <v>17988</v>
      </c>
      <c r="I716" s="57">
        <v>1100</v>
      </c>
      <c r="J716" s="58">
        <v>9368.3559999999998</v>
      </c>
      <c r="K716" s="55">
        <f t="shared" si="44"/>
        <v>1.0199999999999998</v>
      </c>
      <c r="L716" s="56">
        <f t="shared" si="45"/>
        <v>1.0199999999999998</v>
      </c>
      <c r="M716" s="56" t="str">
        <f t="shared" si="46"/>
        <v/>
      </c>
      <c r="N716" s="56" t="str">
        <f t="shared" si="47"/>
        <v>OK</v>
      </c>
      <c r="O716" s="2"/>
      <c r="P716" s="27"/>
      <c r="Q716" s="2"/>
      <c r="R716" s="2"/>
    </row>
    <row r="717" spans="1:18" x14ac:dyDescent="0.35">
      <c r="A717" s="57">
        <v>472</v>
      </c>
      <c r="B717" s="57" t="s">
        <v>13</v>
      </c>
      <c r="C717" s="57" t="s">
        <v>32</v>
      </c>
      <c r="D717" s="57" t="s">
        <v>22</v>
      </c>
      <c r="E717" s="57" t="s">
        <v>28</v>
      </c>
      <c r="F717" s="58">
        <v>2948.53</v>
      </c>
      <c r="G717" s="57">
        <v>864568</v>
      </c>
      <c r="H717" s="57">
        <v>13355</v>
      </c>
      <c r="I717" s="57">
        <v>143</v>
      </c>
      <c r="J717" s="58">
        <v>5956.0306</v>
      </c>
      <c r="K717" s="55">
        <f t="shared" si="44"/>
        <v>1.0199999999999998</v>
      </c>
      <c r="L717" s="56">
        <f t="shared" si="45"/>
        <v>1.0199999999999998</v>
      </c>
      <c r="M717" s="56" t="str">
        <f t="shared" si="46"/>
        <v/>
      </c>
      <c r="N717" s="56" t="str">
        <f t="shared" si="47"/>
        <v>OK</v>
      </c>
      <c r="O717" s="2"/>
      <c r="P717" s="27"/>
      <c r="Q717" s="2"/>
      <c r="R717" s="2"/>
    </row>
    <row r="718" spans="1:18" x14ac:dyDescent="0.35">
      <c r="A718" s="53">
        <v>571</v>
      </c>
      <c r="B718" s="53" t="s">
        <v>10</v>
      </c>
      <c r="C718" s="53" t="s">
        <v>31</v>
      </c>
      <c r="D718" s="53" t="s">
        <v>19</v>
      </c>
      <c r="E718" s="53" t="s">
        <v>24</v>
      </c>
      <c r="F718" s="54">
        <v>23056.04</v>
      </c>
      <c r="G718" s="53">
        <v>53764</v>
      </c>
      <c r="H718" s="53">
        <v>18203</v>
      </c>
      <c r="I718" s="53">
        <v>1644</v>
      </c>
      <c r="J718" s="54">
        <v>46573.200799999999</v>
      </c>
      <c r="K718" s="55">
        <f t="shared" si="44"/>
        <v>1.0199999999999998</v>
      </c>
      <c r="L718" s="56" t="str">
        <f t="shared" si="45"/>
        <v/>
      </c>
      <c r="M718" s="56">
        <f t="shared" si="46"/>
        <v>1.0199999999999998</v>
      </c>
      <c r="N718" s="56" t="str">
        <f t="shared" si="47"/>
        <v>OK</v>
      </c>
      <c r="O718" s="2"/>
      <c r="P718" s="27"/>
      <c r="Q718" s="2"/>
      <c r="R718" s="2"/>
    </row>
    <row r="719" spans="1:18" x14ac:dyDescent="0.35">
      <c r="A719" s="57">
        <v>974</v>
      </c>
      <c r="B719" s="57" t="s">
        <v>9</v>
      </c>
      <c r="C719" s="57" t="s">
        <v>31</v>
      </c>
      <c r="D719" s="57" t="s">
        <v>22</v>
      </c>
      <c r="E719" s="57" t="s">
        <v>28</v>
      </c>
      <c r="F719" s="58">
        <v>26834.400000000001</v>
      </c>
      <c r="G719" s="57">
        <v>916450</v>
      </c>
      <c r="H719" s="57">
        <v>18848</v>
      </c>
      <c r="I719" s="57">
        <v>1422</v>
      </c>
      <c r="J719" s="58">
        <v>54205.487999999998</v>
      </c>
      <c r="K719" s="55">
        <f t="shared" si="44"/>
        <v>1.0199999999999998</v>
      </c>
      <c r="L719" s="56" t="str">
        <f t="shared" si="45"/>
        <v/>
      </c>
      <c r="M719" s="56">
        <f t="shared" si="46"/>
        <v>1.0199999999999998</v>
      </c>
      <c r="N719" s="56" t="str">
        <f t="shared" si="47"/>
        <v>OK</v>
      </c>
      <c r="O719" s="2"/>
      <c r="P719" s="27"/>
      <c r="Q719" s="2"/>
      <c r="R719" s="2"/>
    </row>
    <row r="720" spans="1:18" x14ac:dyDescent="0.35">
      <c r="A720" s="53">
        <v>123</v>
      </c>
      <c r="B720" s="53" t="s">
        <v>14</v>
      </c>
      <c r="C720" s="53" t="s">
        <v>32</v>
      </c>
      <c r="D720" s="53" t="s">
        <v>18</v>
      </c>
      <c r="E720" s="53" t="s">
        <v>26</v>
      </c>
      <c r="F720" s="54">
        <v>3587.39</v>
      </c>
      <c r="G720" s="53">
        <v>935779</v>
      </c>
      <c r="H720" s="53">
        <v>11194</v>
      </c>
      <c r="I720" s="53">
        <v>1476</v>
      </c>
      <c r="J720" s="54">
        <v>7246.5277999999998</v>
      </c>
      <c r="K720" s="55">
        <f t="shared" si="44"/>
        <v>1.02</v>
      </c>
      <c r="L720" s="56">
        <f t="shared" si="45"/>
        <v>1.02</v>
      </c>
      <c r="M720" s="56" t="str">
        <f t="shared" si="46"/>
        <v/>
      </c>
      <c r="N720" s="56" t="str">
        <f t="shared" si="47"/>
        <v>OK</v>
      </c>
      <c r="O720" s="2"/>
      <c r="P720" s="27"/>
      <c r="Q720" s="2"/>
      <c r="R720" s="2"/>
    </row>
    <row r="721" spans="1:18" x14ac:dyDescent="0.35">
      <c r="A721" s="53">
        <v>597</v>
      </c>
      <c r="B721" s="53" t="s">
        <v>15</v>
      </c>
      <c r="C721" s="53" t="s">
        <v>32</v>
      </c>
      <c r="D721" s="53" t="s">
        <v>17</v>
      </c>
      <c r="E721" s="53" t="s">
        <v>29</v>
      </c>
      <c r="F721" s="54">
        <v>42244.44</v>
      </c>
      <c r="G721" s="53">
        <v>330815</v>
      </c>
      <c r="H721" s="53">
        <v>6609</v>
      </c>
      <c r="I721" s="53">
        <v>94</v>
      </c>
      <c r="J721" s="54">
        <v>85333.768800000005</v>
      </c>
      <c r="K721" s="55">
        <f t="shared" si="44"/>
        <v>1.02</v>
      </c>
      <c r="L721" s="56">
        <f t="shared" si="45"/>
        <v>1.02</v>
      </c>
      <c r="M721" s="56" t="str">
        <f t="shared" si="46"/>
        <v/>
      </c>
      <c r="N721" s="56" t="str">
        <f t="shared" si="47"/>
        <v>OK</v>
      </c>
      <c r="O721" s="2"/>
      <c r="P721" s="27"/>
      <c r="Q721" s="2"/>
      <c r="R721" s="2"/>
    </row>
    <row r="722" spans="1:18" x14ac:dyDescent="0.35">
      <c r="A722" s="53">
        <v>775</v>
      </c>
      <c r="B722" s="53" t="s">
        <v>14</v>
      </c>
      <c r="C722" s="53" t="s">
        <v>32</v>
      </c>
      <c r="D722" s="53" t="s">
        <v>22</v>
      </c>
      <c r="E722" s="53" t="s">
        <v>25</v>
      </c>
      <c r="F722" s="54">
        <v>41250.17</v>
      </c>
      <c r="G722" s="53">
        <v>379360</v>
      </c>
      <c r="H722" s="53">
        <v>8530</v>
      </c>
      <c r="I722" s="53">
        <v>1222</v>
      </c>
      <c r="J722" s="54">
        <v>83325.343399999998</v>
      </c>
      <c r="K722" s="55">
        <f t="shared" si="44"/>
        <v>1.02</v>
      </c>
      <c r="L722" s="56">
        <f t="shared" si="45"/>
        <v>1.02</v>
      </c>
      <c r="M722" s="56" t="str">
        <f t="shared" si="46"/>
        <v/>
      </c>
      <c r="N722" s="56" t="str">
        <f t="shared" si="47"/>
        <v>OK</v>
      </c>
      <c r="O722" s="2"/>
      <c r="P722" s="27"/>
      <c r="Q722" s="2"/>
      <c r="R722" s="2"/>
    </row>
    <row r="723" spans="1:18" x14ac:dyDescent="0.35">
      <c r="A723" s="53">
        <v>787</v>
      </c>
      <c r="B723" s="53" t="s">
        <v>8</v>
      </c>
      <c r="C723" s="53" t="s">
        <v>31</v>
      </c>
      <c r="D723" s="53" t="s">
        <v>20</v>
      </c>
      <c r="E723" s="53" t="s">
        <v>25</v>
      </c>
      <c r="F723" s="54">
        <v>20670.84</v>
      </c>
      <c r="G723" s="53">
        <v>789976</v>
      </c>
      <c r="H723" s="53">
        <v>12305</v>
      </c>
      <c r="I723" s="53">
        <v>276</v>
      </c>
      <c r="J723" s="54">
        <v>41755.096799999999</v>
      </c>
      <c r="K723" s="55">
        <f t="shared" si="44"/>
        <v>1.02</v>
      </c>
      <c r="L723" s="56" t="str">
        <f t="shared" si="45"/>
        <v/>
      </c>
      <c r="M723" s="56">
        <f t="shared" si="46"/>
        <v>1.02</v>
      </c>
      <c r="N723" s="56" t="str">
        <f t="shared" si="47"/>
        <v>OK</v>
      </c>
      <c r="O723" s="2"/>
      <c r="P723" s="27"/>
      <c r="Q723" s="2"/>
      <c r="R723" s="2"/>
    </row>
    <row r="724" spans="1:18" x14ac:dyDescent="0.35">
      <c r="A724" s="53">
        <v>931</v>
      </c>
      <c r="B724" s="53" t="s">
        <v>8</v>
      </c>
      <c r="C724" s="53" t="s">
        <v>31</v>
      </c>
      <c r="D724" s="53" t="s">
        <v>22</v>
      </c>
      <c r="E724" s="53" t="s">
        <v>25</v>
      </c>
      <c r="F724" s="54">
        <v>11044.08</v>
      </c>
      <c r="G724" s="53">
        <v>402118</v>
      </c>
      <c r="H724" s="53">
        <v>16095</v>
      </c>
      <c r="I724" s="53">
        <v>1145</v>
      </c>
      <c r="J724" s="54">
        <v>22309.0416</v>
      </c>
      <c r="K724" s="55">
        <f t="shared" si="44"/>
        <v>1.02</v>
      </c>
      <c r="L724" s="56" t="str">
        <f t="shared" si="45"/>
        <v/>
      </c>
      <c r="M724" s="56">
        <f t="shared" si="46"/>
        <v>1.02</v>
      </c>
      <c r="N724" s="56" t="str">
        <f t="shared" si="47"/>
        <v>OK</v>
      </c>
      <c r="O724" s="2"/>
      <c r="P724" s="27"/>
      <c r="Q724" s="2"/>
      <c r="R724" s="2"/>
    </row>
    <row r="725" spans="1:18" x14ac:dyDescent="0.35">
      <c r="A725" s="57">
        <v>724</v>
      </c>
      <c r="B725" s="57" t="s">
        <v>11</v>
      </c>
      <c r="C725" s="57" t="s">
        <v>32</v>
      </c>
      <c r="D725" s="57" t="s">
        <v>21</v>
      </c>
      <c r="E725" s="57" t="s">
        <v>28</v>
      </c>
      <c r="F725" s="58">
        <v>3163.93</v>
      </c>
      <c r="G725" s="57">
        <v>414303</v>
      </c>
      <c r="H725" s="57">
        <v>2223</v>
      </c>
      <c r="I725" s="57">
        <v>54</v>
      </c>
      <c r="J725" s="58">
        <v>6391.1386000000002</v>
      </c>
      <c r="K725" s="55">
        <f t="shared" si="44"/>
        <v>1.0200000000000002</v>
      </c>
      <c r="L725" s="56">
        <f t="shared" si="45"/>
        <v>1.0200000000000002</v>
      </c>
      <c r="M725" s="56" t="str">
        <f t="shared" si="46"/>
        <v/>
      </c>
      <c r="N725" s="56" t="str">
        <f t="shared" si="47"/>
        <v>OK</v>
      </c>
      <c r="O725" s="2"/>
      <c r="P725" s="27"/>
      <c r="Q725" s="2"/>
      <c r="R725" s="2"/>
    </row>
    <row r="726" spans="1:18" x14ac:dyDescent="0.35">
      <c r="A726" s="53">
        <v>57</v>
      </c>
      <c r="B726" s="53" t="s">
        <v>13</v>
      </c>
      <c r="C726" s="53" t="s">
        <v>32</v>
      </c>
      <c r="D726" s="53" t="s">
        <v>20</v>
      </c>
      <c r="E726" s="53" t="s">
        <v>27</v>
      </c>
      <c r="F726" s="54">
        <v>36669.410000000003</v>
      </c>
      <c r="G726" s="53">
        <v>642413</v>
      </c>
      <c r="H726" s="53">
        <v>5810</v>
      </c>
      <c r="I726" s="53">
        <v>221</v>
      </c>
      <c r="J726" s="54">
        <v>74438.902300000002</v>
      </c>
      <c r="K726" s="55">
        <f t="shared" si="44"/>
        <v>1.0299999999999998</v>
      </c>
      <c r="L726" s="56">
        <f t="shared" si="45"/>
        <v>1.0299999999999998</v>
      </c>
      <c r="M726" s="56" t="str">
        <f t="shared" si="46"/>
        <v/>
      </c>
      <c r="N726" s="56" t="str">
        <f t="shared" si="47"/>
        <v>OK</v>
      </c>
      <c r="O726" s="2"/>
      <c r="P726" s="27"/>
      <c r="Q726" s="2"/>
      <c r="R726" s="2"/>
    </row>
    <row r="727" spans="1:18" x14ac:dyDescent="0.35">
      <c r="A727" s="53">
        <v>365</v>
      </c>
      <c r="B727" s="53" t="s">
        <v>8</v>
      </c>
      <c r="C727" s="53" t="s">
        <v>31</v>
      </c>
      <c r="D727" s="53" t="s">
        <v>18</v>
      </c>
      <c r="E727" s="53" t="s">
        <v>28</v>
      </c>
      <c r="F727" s="54">
        <v>49595.39</v>
      </c>
      <c r="G727" s="53">
        <v>296479</v>
      </c>
      <c r="H727" s="53">
        <v>16379</v>
      </c>
      <c r="I727" s="53">
        <v>392</v>
      </c>
      <c r="J727" s="54">
        <v>100678.64169999999</v>
      </c>
      <c r="K727" s="55">
        <f t="shared" si="44"/>
        <v>1.0299999999999998</v>
      </c>
      <c r="L727" s="56" t="str">
        <f t="shared" si="45"/>
        <v/>
      </c>
      <c r="M727" s="56">
        <f t="shared" si="46"/>
        <v>1.0299999999999998</v>
      </c>
      <c r="N727" s="56" t="str">
        <f t="shared" si="47"/>
        <v>OK</v>
      </c>
      <c r="O727" s="2"/>
      <c r="P727" s="27"/>
      <c r="Q727" s="2"/>
      <c r="R727" s="2"/>
    </row>
    <row r="728" spans="1:18" x14ac:dyDescent="0.35">
      <c r="A728" s="57">
        <v>388</v>
      </c>
      <c r="B728" s="57" t="s">
        <v>8</v>
      </c>
      <c r="C728" s="57" t="s">
        <v>31</v>
      </c>
      <c r="D728" s="57" t="s">
        <v>20</v>
      </c>
      <c r="E728" s="57" t="s">
        <v>29</v>
      </c>
      <c r="F728" s="58">
        <v>19698.990000000002</v>
      </c>
      <c r="G728" s="57">
        <v>245419</v>
      </c>
      <c r="H728" s="57">
        <v>6851</v>
      </c>
      <c r="I728" s="57">
        <v>425</v>
      </c>
      <c r="J728" s="58">
        <v>39988.949699999997</v>
      </c>
      <c r="K728" s="55">
        <f t="shared" si="44"/>
        <v>1.0299999999999998</v>
      </c>
      <c r="L728" s="56" t="str">
        <f t="shared" si="45"/>
        <v/>
      </c>
      <c r="M728" s="56">
        <f t="shared" si="46"/>
        <v>1.0299999999999998</v>
      </c>
      <c r="N728" s="56" t="str">
        <f t="shared" si="47"/>
        <v>OK</v>
      </c>
      <c r="O728" s="2"/>
      <c r="P728" s="27"/>
      <c r="Q728" s="2"/>
      <c r="R728" s="2"/>
    </row>
    <row r="729" spans="1:18" x14ac:dyDescent="0.35">
      <c r="A729" s="57">
        <v>216</v>
      </c>
      <c r="B729" s="57" t="s">
        <v>15</v>
      </c>
      <c r="C729" s="57" t="s">
        <v>32</v>
      </c>
      <c r="D729" s="57" t="s">
        <v>18</v>
      </c>
      <c r="E729" s="57" t="s">
        <v>29</v>
      </c>
      <c r="F729" s="58">
        <v>31596.85</v>
      </c>
      <c r="G729" s="57">
        <v>227583</v>
      </c>
      <c r="H729" s="57">
        <v>19101</v>
      </c>
      <c r="I729" s="57">
        <v>1018</v>
      </c>
      <c r="J729" s="58">
        <v>64141.605499999998</v>
      </c>
      <c r="K729" s="55">
        <f t="shared" si="44"/>
        <v>1.03</v>
      </c>
      <c r="L729" s="56">
        <f t="shared" si="45"/>
        <v>1.03</v>
      </c>
      <c r="M729" s="56" t="str">
        <f t="shared" si="46"/>
        <v/>
      </c>
      <c r="N729" s="56" t="str">
        <f t="shared" si="47"/>
        <v>OK</v>
      </c>
      <c r="O729" s="2"/>
      <c r="P729" s="27"/>
      <c r="Q729" s="2"/>
      <c r="R729" s="2"/>
    </row>
    <row r="730" spans="1:18" x14ac:dyDescent="0.35">
      <c r="A730" s="53">
        <v>265</v>
      </c>
      <c r="B730" s="53" t="s">
        <v>9</v>
      </c>
      <c r="C730" s="53" t="s">
        <v>31</v>
      </c>
      <c r="D730" s="53" t="s">
        <v>21</v>
      </c>
      <c r="E730" s="53" t="s">
        <v>27</v>
      </c>
      <c r="F730" s="54">
        <v>8919.3700000000008</v>
      </c>
      <c r="G730" s="53">
        <v>934767</v>
      </c>
      <c r="H730" s="53">
        <v>14239</v>
      </c>
      <c r="I730" s="53">
        <v>568</v>
      </c>
      <c r="J730" s="54">
        <v>18106.321100000001</v>
      </c>
      <c r="K730" s="55">
        <f t="shared" si="44"/>
        <v>1.03</v>
      </c>
      <c r="L730" s="56" t="str">
        <f t="shared" si="45"/>
        <v/>
      </c>
      <c r="M730" s="56">
        <f t="shared" si="46"/>
        <v>1.03</v>
      </c>
      <c r="N730" s="56" t="str">
        <f t="shared" si="47"/>
        <v>OK</v>
      </c>
      <c r="O730" s="2"/>
      <c r="P730" s="27"/>
      <c r="Q730" s="2"/>
      <c r="R730" s="2"/>
    </row>
    <row r="731" spans="1:18" x14ac:dyDescent="0.35">
      <c r="A731" s="57">
        <v>778</v>
      </c>
      <c r="B731" s="57" t="s">
        <v>13</v>
      </c>
      <c r="C731" s="57" t="s">
        <v>32</v>
      </c>
      <c r="D731" s="57" t="s">
        <v>18</v>
      </c>
      <c r="E731" s="57" t="s">
        <v>26</v>
      </c>
      <c r="F731" s="58">
        <v>26787.64</v>
      </c>
      <c r="G731" s="57">
        <v>313602</v>
      </c>
      <c r="H731" s="57">
        <v>9648</v>
      </c>
      <c r="I731" s="57">
        <v>1041</v>
      </c>
      <c r="J731" s="58">
        <v>54378.909200000002</v>
      </c>
      <c r="K731" s="55">
        <f t="shared" si="44"/>
        <v>1.03</v>
      </c>
      <c r="L731" s="56">
        <f t="shared" si="45"/>
        <v>1.03</v>
      </c>
      <c r="M731" s="56" t="str">
        <f t="shared" si="46"/>
        <v/>
      </c>
      <c r="N731" s="56" t="str">
        <f t="shared" si="47"/>
        <v>OK</v>
      </c>
      <c r="O731" s="2"/>
      <c r="P731" s="27"/>
      <c r="Q731" s="2"/>
      <c r="R731" s="2"/>
    </row>
    <row r="732" spans="1:18" x14ac:dyDescent="0.35">
      <c r="A732" s="53">
        <v>821</v>
      </c>
      <c r="B732" s="53" t="s">
        <v>8</v>
      </c>
      <c r="C732" s="53" t="s">
        <v>31</v>
      </c>
      <c r="D732" s="53" t="s">
        <v>18</v>
      </c>
      <c r="E732" s="53" t="s">
        <v>27</v>
      </c>
      <c r="F732" s="54">
        <v>42368.19</v>
      </c>
      <c r="G732" s="53">
        <v>735084</v>
      </c>
      <c r="H732" s="53">
        <v>7208</v>
      </c>
      <c r="I732" s="53">
        <v>1467</v>
      </c>
      <c r="J732" s="54">
        <v>86007.425700000007</v>
      </c>
      <c r="K732" s="55">
        <f t="shared" si="44"/>
        <v>1.03</v>
      </c>
      <c r="L732" s="56" t="str">
        <f t="shared" si="45"/>
        <v/>
      </c>
      <c r="M732" s="56">
        <f t="shared" si="46"/>
        <v>1.03</v>
      </c>
      <c r="N732" s="56" t="str">
        <f t="shared" si="47"/>
        <v>OK</v>
      </c>
      <c r="O732" s="2"/>
      <c r="P732" s="27"/>
      <c r="Q732" s="2"/>
      <c r="R732" s="2"/>
    </row>
    <row r="733" spans="1:18" x14ac:dyDescent="0.35">
      <c r="A733" s="57">
        <v>948</v>
      </c>
      <c r="B733" s="57" t="s">
        <v>13</v>
      </c>
      <c r="C733" s="57" t="s">
        <v>32</v>
      </c>
      <c r="D733" s="57" t="s">
        <v>18</v>
      </c>
      <c r="E733" s="57" t="s">
        <v>28</v>
      </c>
      <c r="F733" s="58">
        <v>3970.82</v>
      </c>
      <c r="G733" s="57">
        <v>844440</v>
      </c>
      <c r="H733" s="57">
        <v>10653</v>
      </c>
      <c r="I733" s="57">
        <v>246</v>
      </c>
      <c r="J733" s="58">
        <v>8060.7646000000004</v>
      </c>
      <c r="K733" s="55">
        <f t="shared" si="44"/>
        <v>1.03</v>
      </c>
      <c r="L733" s="56">
        <f t="shared" si="45"/>
        <v>1.03</v>
      </c>
      <c r="M733" s="56" t="str">
        <f t="shared" si="46"/>
        <v/>
      </c>
      <c r="N733" s="56" t="str">
        <f t="shared" si="47"/>
        <v>OK</v>
      </c>
      <c r="O733" s="2"/>
      <c r="P733" s="27"/>
      <c r="Q733" s="2"/>
      <c r="R733" s="2"/>
    </row>
    <row r="734" spans="1:18" x14ac:dyDescent="0.35">
      <c r="A734" s="57">
        <v>238</v>
      </c>
      <c r="B734" s="57" t="s">
        <v>10</v>
      </c>
      <c r="C734" s="57" t="s">
        <v>31</v>
      </c>
      <c r="D734" s="57" t="s">
        <v>21</v>
      </c>
      <c r="E734" s="57" t="s">
        <v>24</v>
      </c>
      <c r="F734" s="58">
        <v>27893.09</v>
      </c>
      <c r="G734" s="57">
        <v>149784</v>
      </c>
      <c r="H734" s="57">
        <v>16451</v>
      </c>
      <c r="I734" s="57">
        <v>739</v>
      </c>
      <c r="J734" s="58">
        <v>56901.903599999998</v>
      </c>
      <c r="K734" s="55">
        <f t="shared" si="44"/>
        <v>1.0399999999999998</v>
      </c>
      <c r="L734" s="56" t="str">
        <f t="shared" si="45"/>
        <v/>
      </c>
      <c r="M734" s="56">
        <f t="shared" si="46"/>
        <v>1.0399999999999998</v>
      </c>
      <c r="N734" s="56" t="str">
        <f t="shared" si="47"/>
        <v>OK</v>
      </c>
      <c r="O734" s="2"/>
      <c r="P734" s="27"/>
      <c r="Q734" s="2"/>
      <c r="R734" s="2"/>
    </row>
    <row r="735" spans="1:18" x14ac:dyDescent="0.35">
      <c r="A735" s="57">
        <v>652</v>
      </c>
      <c r="B735" s="57" t="s">
        <v>13</v>
      </c>
      <c r="C735" s="57" t="s">
        <v>32</v>
      </c>
      <c r="D735" s="57" t="s">
        <v>19</v>
      </c>
      <c r="E735" s="57" t="s">
        <v>24</v>
      </c>
      <c r="F735" s="58">
        <v>15723.98</v>
      </c>
      <c r="G735" s="57">
        <v>869665</v>
      </c>
      <c r="H735" s="57">
        <v>14131</v>
      </c>
      <c r="I735" s="57">
        <v>110</v>
      </c>
      <c r="J735" s="58">
        <v>32076.9192</v>
      </c>
      <c r="K735" s="55">
        <f t="shared" si="44"/>
        <v>1.04</v>
      </c>
      <c r="L735" s="56">
        <f t="shared" si="45"/>
        <v>1.04</v>
      </c>
      <c r="M735" s="56" t="str">
        <f t="shared" si="46"/>
        <v/>
      </c>
      <c r="N735" s="56" t="str">
        <f t="shared" si="47"/>
        <v>OK</v>
      </c>
      <c r="O735" s="2"/>
      <c r="P735" s="27"/>
      <c r="Q735" s="2"/>
      <c r="R735" s="2"/>
    </row>
    <row r="736" spans="1:18" x14ac:dyDescent="0.35">
      <c r="A736" s="57">
        <v>956</v>
      </c>
      <c r="B736" s="57" t="s">
        <v>9</v>
      </c>
      <c r="C736" s="57" t="s">
        <v>31</v>
      </c>
      <c r="D736" s="57" t="s">
        <v>21</v>
      </c>
      <c r="E736" s="57" t="s">
        <v>28</v>
      </c>
      <c r="F736" s="58">
        <v>15793.92</v>
      </c>
      <c r="G736" s="57">
        <v>326463</v>
      </c>
      <c r="H736" s="57">
        <v>13767</v>
      </c>
      <c r="I736" s="57">
        <v>976</v>
      </c>
      <c r="J736" s="58">
        <v>32219.596799999999</v>
      </c>
      <c r="K736" s="55">
        <f t="shared" si="44"/>
        <v>1.04</v>
      </c>
      <c r="L736" s="56" t="str">
        <f t="shared" si="45"/>
        <v/>
      </c>
      <c r="M736" s="56">
        <f t="shared" si="46"/>
        <v>1.04</v>
      </c>
      <c r="N736" s="56" t="str">
        <f t="shared" si="47"/>
        <v>OK</v>
      </c>
      <c r="O736" s="2"/>
      <c r="P736" s="27"/>
      <c r="Q736" s="2"/>
      <c r="R736" s="2"/>
    </row>
    <row r="737" spans="1:18" x14ac:dyDescent="0.35">
      <c r="A737" s="57">
        <v>374</v>
      </c>
      <c r="B737" s="57" t="s">
        <v>13</v>
      </c>
      <c r="C737" s="57" t="s">
        <v>32</v>
      </c>
      <c r="D737" s="57" t="s">
        <v>18</v>
      </c>
      <c r="E737" s="57" t="s">
        <v>26</v>
      </c>
      <c r="F737" s="58">
        <v>21007.01</v>
      </c>
      <c r="G737" s="57">
        <v>640752</v>
      </c>
      <c r="H737" s="57">
        <v>11837</v>
      </c>
      <c r="I737" s="57">
        <v>153</v>
      </c>
      <c r="J737" s="58">
        <v>42854.3004</v>
      </c>
      <c r="K737" s="55">
        <f t="shared" si="44"/>
        <v>1.0400000000000003</v>
      </c>
      <c r="L737" s="56">
        <f t="shared" si="45"/>
        <v>1.0400000000000003</v>
      </c>
      <c r="M737" s="56" t="str">
        <f t="shared" si="46"/>
        <v/>
      </c>
      <c r="N737" s="56" t="str">
        <f t="shared" si="47"/>
        <v>OK</v>
      </c>
      <c r="O737" s="2"/>
      <c r="P737" s="27"/>
      <c r="Q737" s="2"/>
      <c r="R737" s="2"/>
    </row>
    <row r="738" spans="1:18" x14ac:dyDescent="0.35">
      <c r="A738" s="53">
        <v>583</v>
      </c>
      <c r="B738" s="53" t="s">
        <v>12</v>
      </c>
      <c r="C738" s="53" t="s">
        <v>32</v>
      </c>
      <c r="D738" s="53" t="s">
        <v>17</v>
      </c>
      <c r="E738" s="53" t="s">
        <v>26</v>
      </c>
      <c r="F738" s="54">
        <v>32641.279999999999</v>
      </c>
      <c r="G738" s="53">
        <v>15039</v>
      </c>
      <c r="H738" s="53">
        <v>5554</v>
      </c>
      <c r="I738" s="53">
        <v>671</v>
      </c>
      <c r="J738" s="54">
        <v>66588.211200000005</v>
      </c>
      <c r="K738" s="55">
        <f t="shared" si="44"/>
        <v>1.0400000000000003</v>
      </c>
      <c r="L738" s="56">
        <f t="shared" si="45"/>
        <v>1.0400000000000003</v>
      </c>
      <c r="M738" s="56" t="str">
        <f t="shared" si="46"/>
        <v/>
      </c>
      <c r="N738" s="56" t="str">
        <f t="shared" si="47"/>
        <v>OK</v>
      </c>
      <c r="O738" s="2"/>
      <c r="P738" s="27"/>
      <c r="Q738" s="2"/>
      <c r="R738" s="2"/>
    </row>
    <row r="739" spans="1:18" x14ac:dyDescent="0.35">
      <c r="A739" s="53">
        <v>113</v>
      </c>
      <c r="B739" s="53" t="s">
        <v>13</v>
      </c>
      <c r="C739" s="53" t="s">
        <v>32</v>
      </c>
      <c r="D739" s="53" t="s">
        <v>18</v>
      </c>
      <c r="E739" s="53" t="s">
        <v>24</v>
      </c>
      <c r="F739" s="54">
        <v>9177.3700000000008</v>
      </c>
      <c r="G739" s="53">
        <v>839430</v>
      </c>
      <c r="H739" s="53">
        <v>5760</v>
      </c>
      <c r="I739" s="53">
        <v>951</v>
      </c>
      <c r="J739" s="54">
        <v>18813.608499999998</v>
      </c>
      <c r="K739" s="55">
        <f t="shared" si="44"/>
        <v>1.0499999999999996</v>
      </c>
      <c r="L739" s="56">
        <f t="shared" si="45"/>
        <v>1.0499999999999996</v>
      </c>
      <c r="M739" s="56" t="str">
        <f t="shared" si="46"/>
        <v/>
      </c>
      <c r="N739" s="56" t="str">
        <f t="shared" si="47"/>
        <v>OK</v>
      </c>
      <c r="O739" s="2"/>
      <c r="P739" s="27"/>
      <c r="Q739" s="2"/>
      <c r="R739" s="2"/>
    </row>
    <row r="740" spans="1:18" x14ac:dyDescent="0.35">
      <c r="A740" s="53">
        <v>55</v>
      </c>
      <c r="B740" s="53" t="s">
        <v>8</v>
      </c>
      <c r="C740" s="53" t="s">
        <v>31</v>
      </c>
      <c r="D740" s="53" t="s">
        <v>17</v>
      </c>
      <c r="E740" s="53" t="s">
        <v>25</v>
      </c>
      <c r="F740" s="54">
        <v>14197.23</v>
      </c>
      <c r="G740" s="53">
        <v>635043</v>
      </c>
      <c r="H740" s="53">
        <v>15328</v>
      </c>
      <c r="I740" s="53">
        <v>1397</v>
      </c>
      <c r="J740" s="54">
        <v>29104.321499999998</v>
      </c>
      <c r="K740" s="55">
        <f t="shared" si="44"/>
        <v>1.05</v>
      </c>
      <c r="L740" s="56" t="str">
        <f t="shared" si="45"/>
        <v/>
      </c>
      <c r="M740" s="56">
        <f t="shared" si="46"/>
        <v>1.05</v>
      </c>
      <c r="N740" s="56" t="str">
        <f t="shared" si="47"/>
        <v>OK</v>
      </c>
      <c r="O740" s="2"/>
      <c r="P740" s="27"/>
      <c r="Q740" s="2"/>
      <c r="R740" s="2"/>
    </row>
    <row r="741" spans="1:18" x14ac:dyDescent="0.35">
      <c r="A741" s="53">
        <v>133</v>
      </c>
      <c r="B741" s="53" t="s">
        <v>11</v>
      </c>
      <c r="C741" s="53" t="s">
        <v>32</v>
      </c>
      <c r="D741" s="53" t="s">
        <v>17</v>
      </c>
      <c r="E741" s="53" t="s">
        <v>24</v>
      </c>
      <c r="F741" s="54">
        <v>49116.49</v>
      </c>
      <c r="G741" s="53">
        <v>235391</v>
      </c>
      <c r="H741" s="53">
        <v>2927</v>
      </c>
      <c r="I741" s="53">
        <v>1954</v>
      </c>
      <c r="J741" s="54">
        <v>100688.8045</v>
      </c>
      <c r="K741" s="55">
        <f t="shared" si="44"/>
        <v>1.05</v>
      </c>
      <c r="L741" s="56">
        <f t="shared" si="45"/>
        <v>1.05</v>
      </c>
      <c r="M741" s="56" t="str">
        <f t="shared" si="46"/>
        <v/>
      </c>
      <c r="N741" s="56" t="str">
        <f t="shared" si="47"/>
        <v>OK</v>
      </c>
      <c r="O741" s="2"/>
      <c r="P741" s="27"/>
      <c r="Q741" s="2"/>
      <c r="R741" s="2"/>
    </row>
    <row r="742" spans="1:18" x14ac:dyDescent="0.35">
      <c r="A742" s="53">
        <v>167</v>
      </c>
      <c r="B742" s="53" t="s">
        <v>13</v>
      </c>
      <c r="C742" s="53" t="s">
        <v>32</v>
      </c>
      <c r="D742" s="53" t="s">
        <v>20</v>
      </c>
      <c r="E742" s="53" t="s">
        <v>24</v>
      </c>
      <c r="F742" s="54">
        <v>42783.67</v>
      </c>
      <c r="G742" s="53">
        <v>944468</v>
      </c>
      <c r="H742" s="53">
        <v>5262</v>
      </c>
      <c r="I742" s="53">
        <v>438</v>
      </c>
      <c r="J742" s="54">
        <v>87706.523499999996</v>
      </c>
      <c r="K742" s="55">
        <f t="shared" si="44"/>
        <v>1.05</v>
      </c>
      <c r="L742" s="56">
        <f t="shared" si="45"/>
        <v>1.05</v>
      </c>
      <c r="M742" s="56" t="str">
        <f t="shared" si="46"/>
        <v/>
      </c>
      <c r="N742" s="56" t="str">
        <f t="shared" si="47"/>
        <v>OK</v>
      </c>
      <c r="O742" s="2"/>
      <c r="P742" s="27"/>
      <c r="Q742" s="2"/>
      <c r="R742" s="2"/>
    </row>
    <row r="743" spans="1:18" x14ac:dyDescent="0.35">
      <c r="A743" s="53">
        <v>309</v>
      </c>
      <c r="B743" s="53" t="s">
        <v>13</v>
      </c>
      <c r="C743" s="53" t="s">
        <v>32</v>
      </c>
      <c r="D743" s="53" t="s">
        <v>21</v>
      </c>
      <c r="E743" s="53" t="s">
        <v>24</v>
      </c>
      <c r="F743" s="54">
        <v>42986.82</v>
      </c>
      <c r="G743" s="53">
        <v>211554</v>
      </c>
      <c r="H743" s="53">
        <v>2132</v>
      </c>
      <c r="I743" s="53">
        <v>1947</v>
      </c>
      <c r="J743" s="54">
        <v>88122.981</v>
      </c>
      <c r="K743" s="55">
        <f t="shared" si="44"/>
        <v>1.05</v>
      </c>
      <c r="L743" s="56">
        <f t="shared" si="45"/>
        <v>1.05</v>
      </c>
      <c r="M743" s="56" t="str">
        <f t="shared" si="46"/>
        <v/>
      </c>
      <c r="N743" s="56" t="str">
        <f t="shared" si="47"/>
        <v>OK</v>
      </c>
      <c r="O743" s="2"/>
      <c r="P743" s="27"/>
      <c r="Q743" s="2"/>
      <c r="R743" s="2"/>
    </row>
    <row r="744" spans="1:18" x14ac:dyDescent="0.35">
      <c r="A744" s="57">
        <v>936</v>
      </c>
      <c r="B744" s="57" t="s">
        <v>11</v>
      </c>
      <c r="C744" s="57" t="s">
        <v>32</v>
      </c>
      <c r="D744" s="57" t="s">
        <v>19</v>
      </c>
      <c r="E744" s="57" t="s">
        <v>24</v>
      </c>
      <c r="F744" s="58">
        <v>16442.2</v>
      </c>
      <c r="G744" s="57">
        <v>360067</v>
      </c>
      <c r="H744" s="57">
        <v>5297</v>
      </c>
      <c r="I744" s="57">
        <v>914</v>
      </c>
      <c r="J744" s="58">
        <v>33706.51</v>
      </c>
      <c r="K744" s="55">
        <f t="shared" si="44"/>
        <v>1.05</v>
      </c>
      <c r="L744" s="56">
        <f t="shared" si="45"/>
        <v>1.05</v>
      </c>
      <c r="M744" s="56" t="str">
        <f t="shared" si="46"/>
        <v/>
      </c>
      <c r="N744" s="56" t="str">
        <f t="shared" si="47"/>
        <v>OK</v>
      </c>
      <c r="O744" s="2"/>
      <c r="P744" s="27"/>
      <c r="Q744" s="2"/>
      <c r="R744" s="2"/>
    </row>
    <row r="745" spans="1:18" x14ac:dyDescent="0.35">
      <c r="A745" s="53">
        <v>75</v>
      </c>
      <c r="B745" s="53" t="s">
        <v>15</v>
      </c>
      <c r="C745" s="53" t="s">
        <v>32</v>
      </c>
      <c r="D745" s="53" t="s">
        <v>20</v>
      </c>
      <c r="E745" s="53" t="s">
        <v>24</v>
      </c>
      <c r="F745" s="54">
        <v>8881.56</v>
      </c>
      <c r="G745" s="53">
        <v>455376</v>
      </c>
      <c r="H745" s="53">
        <v>5769</v>
      </c>
      <c r="I745" s="53">
        <v>61</v>
      </c>
      <c r="J745" s="54">
        <v>18296.013599999998</v>
      </c>
      <c r="K745" s="55">
        <f t="shared" si="44"/>
        <v>1.0599999999999998</v>
      </c>
      <c r="L745" s="56">
        <f t="shared" si="45"/>
        <v>1.0599999999999998</v>
      </c>
      <c r="M745" s="56" t="str">
        <f t="shared" si="46"/>
        <v/>
      </c>
      <c r="N745" s="56" t="str">
        <f t="shared" si="47"/>
        <v>OK</v>
      </c>
      <c r="O745" s="2"/>
      <c r="P745" s="27"/>
      <c r="Q745" s="2"/>
      <c r="R745" s="2"/>
    </row>
    <row r="746" spans="1:18" x14ac:dyDescent="0.35">
      <c r="A746" s="57">
        <v>458</v>
      </c>
      <c r="B746" s="57" t="s">
        <v>13</v>
      </c>
      <c r="C746" s="57" t="s">
        <v>32</v>
      </c>
      <c r="D746" s="57" t="s">
        <v>17</v>
      </c>
      <c r="E746" s="57" t="s">
        <v>27</v>
      </c>
      <c r="F746" s="58">
        <v>32340.67</v>
      </c>
      <c r="G746" s="57">
        <v>474507</v>
      </c>
      <c r="H746" s="57">
        <v>407</v>
      </c>
      <c r="I746" s="57">
        <v>315</v>
      </c>
      <c r="J746" s="58">
        <v>66621.780199999994</v>
      </c>
      <c r="K746" s="55">
        <f t="shared" si="44"/>
        <v>1.0599999999999998</v>
      </c>
      <c r="L746" s="56">
        <f t="shared" si="45"/>
        <v>1.0599999999999998</v>
      </c>
      <c r="M746" s="56" t="str">
        <f t="shared" si="46"/>
        <v/>
      </c>
      <c r="N746" s="56" t="str">
        <f t="shared" si="47"/>
        <v>OK</v>
      </c>
      <c r="O746" s="2"/>
      <c r="P746" s="27"/>
      <c r="Q746" s="2"/>
      <c r="R746" s="2"/>
    </row>
    <row r="747" spans="1:18" x14ac:dyDescent="0.35">
      <c r="A747" s="57">
        <v>534</v>
      </c>
      <c r="B747" s="57" t="s">
        <v>11</v>
      </c>
      <c r="C747" s="57" t="s">
        <v>32</v>
      </c>
      <c r="D747" s="57" t="s">
        <v>18</v>
      </c>
      <c r="E747" s="57" t="s">
        <v>29</v>
      </c>
      <c r="F747" s="58">
        <v>37742.69</v>
      </c>
      <c r="G747" s="57">
        <v>274237</v>
      </c>
      <c r="H747" s="57">
        <v>16574</v>
      </c>
      <c r="I747" s="57">
        <v>44</v>
      </c>
      <c r="J747" s="58">
        <v>77749.941399999996</v>
      </c>
      <c r="K747" s="55">
        <f t="shared" si="44"/>
        <v>1.0599999999999998</v>
      </c>
      <c r="L747" s="56">
        <f t="shared" si="45"/>
        <v>1.0599999999999998</v>
      </c>
      <c r="M747" s="56" t="str">
        <f t="shared" si="46"/>
        <v/>
      </c>
      <c r="N747" s="56" t="str">
        <f t="shared" si="47"/>
        <v>OK</v>
      </c>
      <c r="O747" s="2"/>
      <c r="P747" s="27"/>
      <c r="Q747" s="2"/>
      <c r="R747" s="2"/>
    </row>
    <row r="748" spans="1:18" x14ac:dyDescent="0.35">
      <c r="A748" s="57">
        <v>868</v>
      </c>
      <c r="B748" s="57" t="s">
        <v>10</v>
      </c>
      <c r="C748" s="57" t="s">
        <v>31</v>
      </c>
      <c r="D748" s="57" t="s">
        <v>17</v>
      </c>
      <c r="E748" s="57" t="s">
        <v>26</v>
      </c>
      <c r="F748" s="58">
        <v>41342.160000000003</v>
      </c>
      <c r="G748" s="57">
        <v>855623</v>
      </c>
      <c r="H748" s="57">
        <v>14858</v>
      </c>
      <c r="I748" s="57">
        <v>1645</v>
      </c>
      <c r="J748" s="58">
        <v>85164.849600000001</v>
      </c>
      <c r="K748" s="55">
        <f t="shared" si="44"/>
        <v>1.0599999999999998</v>
      </c>
      <c r="L748" s="56" t="str">
        <f t="shared" si="45"/>
        <v/>
      </c>
      <c r="M748" s="56">
        <f t="shared" si="46"/>
        <v>1.0599999999999998</v>
      </c>
      <c r="N748" s="56" t="str">
        <f t="shared" si="47"/>
        <v>OK</v>
      </c>
      <c r="O748" s="2"/>
      <c r="P748" s="27"/>
      <c r="Q748" s="2"/>
      <c r="R748" s="2"/>
    </row>
    <row r="749" spans="1:18" x14ac:dyDescent="0.35">
      <c r="A749" s="53">
        <v>335</v>
      </c>
      <c r="B749" s="53" t="s">
        <v>10</v>
      </c>
      <c r="C749" s="53" t="s">
        <v>31</v>
      </c>
      <c r="D749" s="53" t="s">
        <v>19</v>
      </c>
      <c r="E749" s="53" t="s">
        <v>29</v>
      </c>
      <c r="F749" s="54">
        <v>45163.5</v>
      </c>
      <c r="G749" s="53">
        <v>371447</v>
      </c>
      <c r="H749" s="53">
        <v>18778</v>
      </c>
      <c r="I749" s="53">
        <v>1725</v>
      </c>
      <c r="J749" s="54">
        <v>93036.81</v>
      </c>
      <c r="K749" s="55">
        <f t="shared" si="44"/>
        <v>1.06</v>
      </c>
      <c r="L749" s="56" t="str">
        <f t="shared" si="45"/>
        <v/>
      </c>
      <c r="M749" s="56">
        <f t="shared" si="46"/>
        <v>1.06</v>
      </c>
      <c r="N749" s="56" t="str">
        <f t="shared" si="47"/>
        <v>OK</v>
      </c>
      <c r="O749" s="2"/>
      <c r="P749" s="27"/>
      <c r="Q749" s="2"/>
      <c r="R749" s="2"/>
    </row>
    <row r="750" spans="1:18" x14ac:dyDescent="0.35">
      <c r="A750" s="53">
        <v>345</v>
      </c>
      <c r="B750" s="53" t="s">
        <v>9</v>
      </c>
      <c r="C750" s="53" t="s">
        <v>31</v>
      </c>
      <c r="D750" s="53" t="s">
        <v>18</v>
      </c>
      <c r="E750" s="53" t="s">
        <v>26</v>
      </c>
      <c r="F750" s="54">
        <v>36234.79</v>
      </c>
      <c r="G750" s="53">
        <v>828730</v>
      </c>
      <c r="H750" s="53">
        <v>16791</v>
      </c>
      <c r="I750" s="53">
        <v>1781</v>
      </c>
      <c r="J750" s="54">
        <v>74643.667400000006</v>
      </c>
      <c r="K750" s="55">
        <f t="shared" si="44"/>
        <v>1.06</v>
      </c>
      <c r="L750" s="56" t="str">
        <f t="shared" si="45"/>
        <v/>
      </c>
      <c r="M750" s="56">
        <f t="shared" si="46"/>
        <v>1.06</v>
      </c>
      <c r="N750" s="56" t="str">
        <f t="shared" si="47"/>
        <v>OK</v>
      </c>
      <c r="O750" s="2"/>
      <c r="P750" s="27"/>
      <c r="Q750" s="2"/>
      <c r="R750" s="2"/>
    </row>
    <row r="751" spans="1:18" x14ac:dyDescent="0.35">
      <c r="A751" s="53">
        <v>63</v>
      </c>
      <c r="B751" s="53" t="s">
        <v>15</v>
      </c>
      <c r="C751" s="53" t="s">
        <v>32</v>
      </c>
      <c r="D751" s="53" t="s">
        <v>18</v>
      </c>
      <c r="E751" s="53" t="s">
        <v>26</v>
      </c>
      <c r="F751" s="54">
        <v>8383.1299999999992</v>
      </c>
      <c r="G751" s="53">
        <v>685673</v>
      </c>
      <c r="H751" s="53">
        <v>2203</v>
      </c>
      <c r="I751" s="53">
        <v>252</v>
      </c>
      <c r="J751" s="54">
        <v>17269.247800000001</v>
      </c>
      <c r="K751" s="55">
        <f t="shared" si="44"/>
        <v>1.0600000000000003</v>
      </c>
      <c r="L751" s="56">
        <f t="shared" si="45"/>
        <v>1.0600000000000003</v>
      </c>
      <c r="M751" s="56" t="str">
        <f t="shared" si="46"/>
        <v/>
      </c>
      <c r="N751" s="56" t="str">
        <f t="shared" si="47"/>
        <v>OK</v>
      </c>
      <c r="O751" s="2"/>
      <c r="P751" s="27"/>
      <c r="Q751" s="2"/>
      <c r="R751" s="2"/>
    </row>
    <row r="752" spans="1:18" x14ac:dyDescent="0.35">
      <c r="A752" s="57">
        <v>274</v>
      </c>
      <c r="B752" s="57" t="s">
        <v>13</v>
      </c>
      <c r="C752" s="57" t="s">
        <v>32</v>
      </c>
      <c r="D752" s="57" t="s">
        <v>19</v>
      </c>
      <c r="E752" s="57" t="s">
        <v>27</v>
      </c>
      <c r="F752" s="58">
        <v>14839.11</v>
      </c>
      <c r="G752" s="57">
        <v>567564</v>
      </c>
      <c r="H752" s="57">
        <v>10445</v>
      </c>
      <c r="I752" s="57">
        <v>951</v>
      </c>
      <c r="J752" s="58">
        <v>30716.957699999999</v>
      </c>
      <c r="K752" s="55">
        <f t="shared" si="44"/>
        <v>1.0699999999999998</v>
      </c>
      <c r="L752" s="56">
        <f t="shared" si="45"/>
        <v>1.0699999999999998</v>
      </c>
      <c r="M752" s="56" t="str">
        <f t="shared" si="46"/>
        <v/>
      </c>
      <c r="N752" s="56" t="str">
        <f t="shared" si="47"/>
        <v>OK</v>
      </c>
      <c r="O752" s="2"/>
      <c r="P752" s="27"/>
      <c r="Q752" s="2"/>
      <c r="R752" s="2"/>
    </row>
    <row r="753" spans="1:18" x14ac:dyDescent="0.35">
      <c r="A753" s="53">
        <v>341</v>
      </c>
      <c r="B753" s="53" t="s">
        <v>9</v>
      </c>
      <c r="C753" s="53" t="s">
        <v>31</v>
      </c>
      <c r="D753" s="53" t="s">
        <v>20</v>
      </c>
      <c r="E753" s="53" t="s">
        <v>28</v>
      </c>
      <c r="F753" s="54">
        <v>26746.31</v>
      </c>
      <c r="G753" s="53">
        <v>330146</v>
      </c>
      <c r="H753" s="53">
        <v>7343</v>
      </c>
      <c r="I753" s="53">
        <v>268</v>
      </c>
      <c r="J753" s="54">
        <v>55364.861700000001</v>
      </c>
      <c r="K753" s="55">
        <f t="shared" si="44"/>
        <v>1.0699999999999998</v>
      </c>
      <c r="L753" s="56" t="str">
        <f t="shared" si="45"/>
        <v/>
      </c>
      <c r="M753" s="56">
        <f t="shared" si="46"/>
        <v>1.0699999999999998</v>
      </c>
      <c r="N753" s="56" t="str">
        <f t="shared" si="47"/>
        <v>OK</v>
      </c>
      <c r="O753" s="2"/>
      <c r="P753" s="27"/>
      <c r="Q753" s="2"/>
      <c r="R753" s="2"/>
    </row>
    <row r="754" spans="1:18" x14ac:dyDescent="0.35">
      <c r="A754" s="53">
        <v>381</v>
      </c>
      <c r="B754" s="53" t="s">
        <v>13</v>
      </c>
      <c r="C754" s="53" t="s">
        <v>32</v>
      </c>
      <c r="D754" s="53" t="s">
        <v>17</v>
      </c>
      <c r="E754" s="53" t="s">
        <v>28</v>
      </c>
      <c r="F754" s="54">
        <v>32887.660000000003</v>
      </c>
      <c r="G754" s="53">
        <v>762922</v>
      </c>
      <c r="H754" s="53">
        <v>19827</v>
      </c>
      <c r="I754" s="53">
        <v>188</v>
      </c>
      <c r="J754" s="54">
        <v>68077.456200000001</v>
      </c>
      <c r="K754" s="55">
        <f t="shared" si="44"/>
        <v>1.0699999999999998</v>
      </c>
      <c r="L754" s="56">
        <f t="shared" si="45"/>
        <v>1.0699999999999998</v>
      </c>
      <c r="M754" s="56" t="str">
        <f t="shared" si="46"/>
        <v/>
      </c>
      <c r="N754" s="56" t="str">
        <f t="shared" si="47"/>
        <v>OK</v>
      </c>
      <c r="O754" s="2"/>
      <c r="P754" s="27"/>
      <c r="Q754" s="2"/>
      <c r="R754" s="2"/>
    </row>
    <row r="755" spans="1:18" x14ac:dyDescent="0.35">
      <c r="A755" s="57">
        <v>40</v>
      </c>
      <c r="B755" s="57" t="s">
        <v>9</v>
      </c>
      <c r="C755" s="57" t="s">
        <v>31</v>
      </c>
      <c r="D755" s="57" t="s">
        <v>18</v>
      </c>
      <c r="E755" s="57" t="s">
        <v>29</v>
      </c>
      <c r="F755" s="58">
        <v>49628.35</v>
      </c>
      <c r="G755" s="57">
        <v>415513</v>
      </c>
      <c r="H755" s="57">
        <v>19530</v>
      </c>
      <c r="I755" s="57">
        <v>1882</v>
      </c>
      <c r="J755" s="58">
        <v>102730.6845</v>
      </c>
      <c r="K755" s="55">
        <f t="shared" si="44"/>
        <v>1.07</v>
      </c>
      <c r="L755" s="56" t="str">
        <f t="shared" si="45"/>
        <v/>
      </c>
      <c r="M755" s="56">
        <f t="shared" si="46"/>
        <v>1.07</v>
      </c>
      <c r="N755" s="56" t="str">
        <f t="shared" si="47"/>
        <v>OK</v>
      </c>
      <c r="O755" s="2"/>
      <c r="P755" s="27"/>
      <c r="Q755" s="2"/>
      <c r="R755" s="2"/>
    </row>
    <row r="756" spans="1:18" x14ac:dyDescent="0.35">
      <c r="A756" s="53">
        <v>183</v>
      </c>
      <c r="B756" s="53" t="s">
        <v>10</v>
      </c>
      <c r="C756" s="53" t="s">
        <v>31</v>
      </c>
      <c r="D756" s="53" t="s">
        <v>18</v>
      </c>
      <c r="E756" s="53" t="s">
        <v>28</v>
      </c>
      <c r="F756" s="54">
        <v>7436.12</v>
      </c>
      <c r="G756" s="53">
        <v>229526</v>
      </c>
      <c r="H756" s="53">
        <v>15095</v>
      </c>
      <c r="I756" s="53">
        <v>1580</v>
      </c>
      <c r="J756" s="54">
        <v>15392.768400000001</v>
      </c>
      <c r="K756" s="55">
        <f t="shared" si="44"/>
        <v>1.07</v>
      </c>
      <c r="L756" s="56" t="str">
        <f t="shared" si="45"/>
        <v/>
      </c>
      <c r="M756" s="56">
        <f t="shared" si="46"/>
        <v>1.07</v>
      </c>
      <c r="N756" s="56" t="str">
        <f t="shared" si="47"/>
        <v>OK</v>
      </c>
      <c r="O756" s="2"/>
      <c r="P756" s="27"/>
      <c r="Q756" s="2"/>
      <c r="R756" s="2"/>
    </row>
    <row r="757" spans="1:18" x14ac:dyDescent="0.35">
      <c r="A757" s="53">
        <v>467</v>
      </c>
      <c r="B757" s="53" t="s">
        <v>13</v>
      </c>
      <c r="C757" s="53" t="s">
        <v>32</v>
      </c>
      <c r="D757" s="53" t="s">
        <v>22</v>
      </c>
      <c r="E757" s="53" t="s">
        <v>24</v>
      </c>
      <c r="F757" s="54">
        <v>49208.18</v>
      </c>
      <c r="G757" s="53">
        <v>629164</v>
      </c>
      <c r="H757" s="53">
        <v>5092</v>
      </c>
      <c r="I757" s="53">
        <v>946</v>
      </c>
      <c r="J757" s="54">
        <v>101860.9326</v>
      </c>
      <c r="K757" s="55">
        <f t="shared" si="44"/>
        <v>1.07</v>
      </c>
      <c r="L757" s="56">
        <f t="shared" si="45"/>
        <v>1.07</v>
      </c>
      <c r="M757" s="56" t="str">
        <f t="shared" si="46"/>
        <v/>
      </c>
      <c r="N757" s="56" t="str">
        <f t="shared" si="47"/>
        <v>OK</v>
      </c>
      <c r="O757" s="2"/>
      <c r="P757" s="27"/>
      <c r="Q757" s="2"/>
      <c r="R757" s="2"/>
    </row>
    <row r="758" spans="1:18" x14ac:dyDescent="0.35">
      <c r="A758" s="57">
        <v>674</v>
      </c>
      <c r="B758" s="57" t="s">
        <v>10</v>
      </c>
      <c r="C758" s="57" t="s">
        <v>31</v>
      </c>
      <c r="D758" s="57" t="s">
        <v>17</v>
      </c>
      <c r="E758" s="57" t="s">
        <v>28</v>
      </c>
      <c r="F758" s="58">
        <v>47506.5</v>
      </c>
      <c r="G758" s="57">
        <v>23261</v>
      </c>
      <c r="H758" s="57">
        <v>7219</v>
      </c>
      <c r="I758" s="57">
        <v>1201</v>
      </c>
      <c r="J758" s="58">
        <v>98338.455000000002</v>
      </c>
      <c r="K758" s="55">
        <f t="shared" si="44"/>
        <v>1.07</v>
      </c>
      <c r="L758" s="56" t="str">
        <f t="shared" si="45"/>
        <v/>
      </c>
      <c r="M758" s="56">
        <f t="shared" si="46"/>
        <v>1.07</v>
      </c>
      <c r="N758" s="56" t="str">
        <f t="shared" si="47"/>
        <v>OK</v>
      </c>
      <c r="O758" s="2"/>
      <c r="P758" s="27"/>
      <c r="Q758" s="2"/>
      <c r="R758" s="2"/>
    </row>
    <row r="759" spans="1:18" x14ac:dyDescent="0.35">
      <c r="A759" s="53">
        <v>741</v>
      </c>
      <c r="B759" s="53" t="s">
        <v>8</v>
      </c>
      <c r="C759" s="53" t="s">
        <v>31</v>
      </c>
      <c r="D759" s="53" t="s">
        <v>18</v>
      </c>
      <c r="E759" s="53" t="s">
        <v>25</v>
      </c>
      <c r="F759" s="54">
        <v>27907.39</v>
      </c>
      <c r="G759" s="53">
        <v>245595</v>
      </c>
      <c r="H759" s="53">
        <v>2117</v>
      </c>
      <c r="I759" s="53">
        <v>609</v>
      </c>
      <c r="J759" s="54">
        <v>57768.297299999998</v>
      </c>
      <c r="K759" s="55">
        <f t="shared" si="44"/>
        <v>1.07</v>
      </c>
      <c r="L759" s="56" t="str">
        <f t="shared" si="45"/>
        <v/>
      </c>
      <c r="M759" s="56">
        <f t="shared" si="46"/>
        <v>1.07</v>
      </c>
      <c r="N759" s="56" t="str">
        <f t="shared" si="47"/>
        <v>OK</v>
      </c>
      <c r="O759" s="2"/>
      <c r="P759" s="27"/>
      <c r="Q759" s="2"/>
      <c r="R759" s="2"/>
    </row>
    <row r="760" spans="1:18" x14ac:dyDescent="0.35">
      <c r="A760" s="57">
        <v>792</v>
      </c>
      <c r="B760" s="57" t="s">
        <v>13</v>
      </c>
      <c r="C760" s="57" t="s">
        <v>32</v>
      </c>
      <c r="D760" s="57" t="s">
        <v>17</v>
      </c>
      <c r="E760" s="57" t="s">
        <v>27</v>
      </c>
      <c r="F760" s="58">
        <v>14305.81</v>
      </c>
      <c r="G760" s="57">
        <v>503814</v>
      </c>
      <c r="H760" s="57">
        <v>116</v>
      </c>
      <c r="I760" s="57">
        <v>1942</v>
      </c>
      <c r="J760" s="58">
        <v>29613.026699999999</v>
      </c>
      <c r="K760" s="55">
        <f t="shared" si="44"/>
        <v>1.07</v>
      </c>
      <c r="L760" s="56">
        <f t="shared" si="45"/>
        <v>1.07</v>
      </c>
      <c r="M760" s="56" t="str">
        <f t="shared" si="46"/>
        <v/>
      </c>
      <c r="N760" s="56" t="str">
        <f t="shared" si="47"/>
        <v>ERROR: Conversions &gt; Clicks</v>
      </c>
      <c r="O760" s="2"/>
      <c r="P760" s="27"/>
      <c r="Q760" s="2"/>
      <c r="R760" s="2"/>
    </row>
    <row r="761" spans="1:18" x14ac:dyDescent="0.35">
      <c r="A761" s="57">
        <v>922</v>
      </c>
      <c r="B761" s="57" t="s">
        <v>8</v>
      </c>
      <c r="C761" s="57" t="s">
        <v>31</v>
      </c>
      <c r="D761" s="57" t="s">
        <v>21</v>
      </c>
      <c r="E761" s="57" t="s">
        <v>28</v>
      </c>
      <c r="F761" s="58">
        <v>33910.47</v>
      </c>
      <c r="G761" s="57">
        <v>495097</v>
      </c>
      <c r="H761" s="57">
        <v>15781</v>
      </c>
      <c r="I761" s="57">
        <v>30</v>
      </c>
      <c r="J761" s="58">
        <v>70194.672900000005</v>
      </c>
      <c r="K761" s="55">
        <f t="shared" si="44"/>
        <v>1.07</v>
      </c>
      <c r="L761" s="56" t="str">
        <f t="shared" si="45"/>
        <v/>
      </c>
      <c r="M761" s="56">
        <f t="shared" si="46"/>
        <v>1.07</v>
      </c>
      <c r="N761" s="56" t="str">
        <f t="shared" si="47"/>
        <v>OK</v>
      </c>
      <c r="O761" s="2"/>
      <c r="P761" s="27"/>
      <c r="Q761" s="2"/>
      <c r="R761" s="2"/>
    </row>
    <row r="762" spans="1:18" x14ac:dyDescent="0.35">
      <c r="A762" s="57">
        <v>66</v>
      </c>
      <c r="B762" s="57" t="s">
        <v>14</v>
      </c>
      <c r="C762" s="57" t="s">
        <v>32</v>
      </c>
      <c r="D762" s="57" t="s">
        <v>21</v>
      </c>
      <c r="E762" s="57" t="s">
        <v>26</v>
      </c>
      <c r="F762" s="58">
        <v>38151.07</v>
      </c>
      <c r="G762" s="57">
        <v>849953</v>
      </c>
      <c r="H762" s="57">
        <v>11867</v>
      </c>
      <c r="I762" s="57">
        <v>996</v>
      </c>
      <c r="J762" s="58">
        <v>78972.714900000006</v>
      </c>
      <c r="K762" s="55">
        <f t="shared" si="44"/>
        <v>1.0700000000000003</v>
      </c>
      <c r="L762" s="56">
        <f t="shared" si="45"/>
        <v>1.0700000000000003</v>
      </c>
      <c r="M762" s="56" t="str">
        <f t="shared" si="46"/>
        <v/>
      </c>
      <c r="N762" s="56" t="str">
        <f t="shared" si="47"/>
        <v>OK</v>
      </c>
      <c r="O762" s="2"/>
      <c r="P762" s="27"/>
      <c r="Q762" s="2"/>
      <c r="R762" s="2"/>
    </row>
    <row r="763" spans="1:18" x14ac:dyDescent="0.35">
      <c r="A763" s="57">
        <v>54</v>
      </c>
      <c r="B763" s="57" t="s">
        <v>12</v>
      </c>
      <c r="C763" s="57" t="s">
        <v>32</v>
      </c>
      <c r="D763" s="57" t="s">
        <v>17</v>
      </c>
      <c r="E763" s="57" t="s">
        <v>28</v>
      </c>
      <c r="F763" s="58">
        <v>37906.18</v>
      </c>
      <c r="G763" s="57">
        <v>543459</v>
      </c>
      <c r="H763" s="57">
        <v>1193</v>
      </c>
      <c r="I763" s="57">
        <v>1508</v>
      </c>
      <c r="J763" s="58">
        <v>78844.854399999997</v>
      </c>
      <c r="K763" s="55">
        <f t="shared" si="44"/>
        <v>1.0799999999999998</v>
      </c>
      <c r="L763" s="56">
        <f t="shared" si="45"/>
        <v>1.0799999999999998</v>
      </c>
      <c r="M763" s="56" t="str">
        <f t="shared" si="46"/>
        <v/>
      </c>
      <c r="N763" s="56" t="str">
        <f t="shared" si="47"/>
        <v>ERROR: Conversions &gt; Clicks</v>
      </c>
      <c r="O763" s="2"/>
      <c r="P763" s="27"/>
      <c r="Q763" s="2"/>
      <c r="R763" s="2"/>
    </row>
    <row r="764" spans="1:18" x14ac:dyDescent="0.35">
      <c r="A764" s="57">
        <v>148</v>
      </c>
      <c r="B764" s="57" t="s">
        <v>9</v>
      </c>
      <c r="C764" s="57" t="s">
        <v>31</v>
      </c>
      <c r="D764" s="57" t="s">
        <v>17</v>
      </c>
      <c r="E764" s="57" t="s">
        <v>25</v>
      </c>
      <c r="F764" s="58">
        <v>32240.11</v>
      </c>
      <c r="G764" s="57">
        <v>381994</v>
      </c>
      <c r="H764" s="57">
        <v>670</v>
      </c>
      <c r="I764" s="57">
        <v>1302</v>
      </c>
      <c r="J764" s="58">
        <v>67059.428799999994</v>
      </c>
      <c r="K764" s="55">
        <f t="shared" si="44"/>
        <v>1.0799999999999998</v>
      </c>
      <c r="L764" s="56" t="str">
        <f t="shared" si="45"/>
        <v/>
      </c>
      <c r="M764" s="56">
        <f t="shared" si="46"/>
        <v>1.0799999999999998</v>
      </c>
      <c r="N764" s="56" t="str">
        <f t="shared" si="47"/>
        <v>ERROR: Conversions &gt; Clicks</v>
      </c>
      <c r="O764" s="2"/>
      <c r="P764" s="27"/>
      <c r="Q764" s="2"/>
      <c r="R764" s="2"/>
    </row>
    <row r="765" spans="1:18" x14ac:dyDescent="0.35">
      <c r="A765" s="53">
        <v>405</v>
      </c>
      <c r="B765" s="53" t="s">
        <v>13</v>
      </c>
      <c r="C765" s="53" t="s">
        <v>32</v>
      </c>
      <c r="D765" s="53" t="s">
        <v>19</v>
      </c>
      <c r="E765" s="53" t="s">
        <v>28</v>
      </c>
      <c r="F765" s="54">
        <v>28400.06</v>
      </c>
      <c r="G765" s="53">
        <v>493779</v>
      </c>
      <c r="H765" s="53">
        <v>14906</v>
      </c>
      <c r="I765" s="53">
        <v>1372</v>
      </c>
      <c r="J765" s="54">
        <v>59072.124799999998</v>
      </c>
      <c r="K765" s="55">
        <f t="shared" si="44"/>
        <v>1.0799999999999998</v>
      </c>
      <c r="L765" s="56">
        <f t="shared" si="45"/>
        <v>1.0799999999999998</v>
      </c>
      <c r="M765" s="56" t="str">
        <f t="shared" si="46"/>
        <v/>
      </c>
      <c r="N765" s="56" t="str">
        <f t="shared" si="47"/>
        <v>OK</v>
      </c>
      <c r="O765" s="2"/>
      <c r="P765" s="27"/>
      <c r="Q765" s="2"/>
      <c r="R765" s="2"/>
    </row>
    <row r="766" spans="1:18" x14ac:dyDescent="0.35">
      <c r="A766" s="57">
        <v>456</v>
      </c>
      <c r="B766" s="57" t="s">
        <v>9</v>
      </c>
      <c r="C766" s="57" t="s">
        <v>31</v>
      </c>
      <c r="D766" s="57" t="s">
        <v>19</v>
      </c>
      <c r="E766" s="57" t="s">
        <v>28</v>
      </c>
      <c r="F766" s="58">
        <v>22817.06</v>
      </c>
      <c r="G766" s="57">
        <v>968671</v>
      </c>
      <c r="H766" s="57">
        <v>12039</v>
      </c>
      <c r="I766" s="57">
        <v>961</v>
      </c>
      <c r="J766" s="58">
        <v>47459.484799999998</v>
      </c>
      <c r="K766" s="55">
        <f t="shared" si="44"/>
        <v>1.0799999999999998</v>
      </c>
      <c r="L766" s="56" t="str">
        <f t="shared" si="45"/>
        <v/>
      </c>
      <c r="M766" s="56">
        <f t="shared" si="46"/>
        <v>1.0799999999999998</v>
      </c>
      <c r="N766" s="56" t="str">
        <f t="shared" si="47"/>
        <v>OK</v>
      </c>
      <c r="O766" s="2"/>
      <c r="P766" s="27"/>
      <c r="Q766" s="2"/>
      <c r="R766" s="2"/>
    </row>
    <row r="767" spans="1:18" x14ac:dyDescent="0.35">
      <c r="A767" s="57">
        <v>564</v>
      </c>
      <c r="B767" s="57" t="s">
        <v>8</v>
      </c>
      <c r="C767" s="57" t="s">
        <v>31</v>
      </c>
      <c r="D767" s="57" t="s">
        <v>17</v>
      </c>
      <c r="E767" s="57" t="s">
        <v>29</v>
      </c>
      <c r="F767" s="58">
        <v>20791</v>
      </c>
      <c r="G767" s="57">
        <v>348089</v>
      </c>
      <c r="H767" s="57">
        <v>11056</v>
      </c>
      <c r="I767" s="57">
        <v>900</v>
      </c>
      <c r="J767" s="58">
        <v>43245.279999999999</v>
      </c>
      <c r="K767" s="55">
        <f t="shared" si="44"/>
        <v>1.0799999999999998</v>
      </c>
      <c r="L767" s="56" t="str">
        <f t="shared" si="45"/>
        <v/>
      </c>
      <c r="M767" s="56">
        <f t="shared" si="46"/>
        <v>1.0799999999999998</v>
      </c>
      <c r="N767" s="56" t="str">
        <f t="shared" si="47"/>
        <v>OK</v>
      </c>
      <c r="O767" s="2"/>
      <c r="P767" s="27"/>
      <c r="Q767" s="2"/>
      <c r="R767" s="2"/>
    </row>
    <row r="768" spans="1:18" x14ac:dyDescent="0.35">
      <c r="A768" s="53">
        <v>705</v>
      </c>
      <c r="B768" s="53" t="s">
        <v>15</v>
      </c>
      <c r="C768" s="53" t="s">
        <v>32</v>
      </c>
      <c r="D768" s="53" t="s">
        <v>20</v>
      </c>
      <c r="E768" s="53" t="s">
        <v>25</v>
      </c>
      <c r="F768" s="54">
        <v>11816.53</v>
      </c>
      <c r="G768" s="53">
        <v>668966</v>
      </c>
      <c r="H768" s="53">
        <v>13222</v>
      </c>
      <c r="I768" s="53">
        <v>732</v>
      </c>
      <c r="J768" s="54">
        <v>24578.382399999999</v>
      </c>
      <c r="K768" s="55">
        <f t="shared" si="44"/>
        <v>1.0799999999999998</v>
      </c>
      <c r="L768" s="56">
        <f t="shared" si="45"/>
        <v>1.0799999999999998</v>
      </c>
      <c r="M768" s="56" t="str">
        <f t="shared" si="46"/>
        <v/>
      </c>
      <c r="N768" s="56" t="str">
        <f t="shared" si="47"/>
        <v>OK</v>
      </c>
      <c r="O768" s="2"/>
      <c r="P768" s="27"/>
      <c r="Q768" s="2"/>
      <c r="R768" s="2"/>
    </row>
    <row r="769" spans="1:18" x14ac:dyDescent="0.35">
      <c r="A769" s="53">
        <v>903</v>
      </c>
      <c r="B769" s="53" t="s">
        <v>10</v>
      </c>
      <c r="C769" s="53" t="s">
        <v>31</v>
      </c>
      <c r="D769" s="53" t="s">
        <v>21</v>
      </c>
      <c r="E769" s="53" t="s">
        <v>29</v>
      </c>
      <c r="F769" s="54">
        <v>32451.14</v>
      </c>
      <c r="G769" s="53">
        <v>65480</v>
      </c>
      <c r="H769" s="53">
        <v>2177</v>
      </c>
      <c r="I769" s="53">
        <v>1472</v>
      </c>
      <c r="J769" s="54">
        <v>67498.371199999994</v>
      </c>
      <c r="K769" s="55">
        <f t="shared" si="44"/>
        <v>1.0799999999999998</v>
      </c>
      <c r="L769" s="56" t="str">
        <f t="shared" si="45"/>
        <v/>
      </c>
      <c r="M769" s="56">
        <f t="shared" si="46"/>
        <v>1.0799999999999998</v>
      </c>
      <c r="N769" s="56" t="str">
        <f t="shared" si="47"/>
        <v>OK</v>
      </c>
      <c r="O769" s="2"/>
      <c r="P769" s="27"/>
      <c r="Q769" s="2"/>
      <c r="R769" s="2"/>
    </row>
    <row r="770" spans="1:18" x14ac:dyDescent="0.35">
      <c r="A770" s="53">
        <v>955</v>
      </c>
      <c r="B770" s="53" t="s">
        <v>9</v>
      </c>
      <c r="C770" s="53" t="s">
        <v>31</v>
      </c>
      <c r="D770" s="53" t="s">
        <v>21</v>
      </c>
      <c r="E770" s="53" t="s">
        <v>29</v>
      </c>
      <c r="F770" s="54">
        <v>21366.47</v>
      </c>
      <c r="G770" s="53">
        <v>350686</v>
      </c>
      <c r="H770" s="53">
        <v>11187</v>
      </c>
      <c r="I770" s="53">
        <v>1263</v>
      </c>
      <c r="J770" s="54">
        <v>44442.257599999997</v>
      </c>
      <c r="K770" s="55">
        <f t="shared" ref="K770:K833" si="48">(J770-F770)/F770</f>
        <v>1.0799999999999998</v>
      </c>
      <c r="L770" s="56" t="str">
        <f t="shared" ref="L770:L833" si="49">IF(C770="Digital",K770,"")</f>
        <v/>
      </c>
      <c r="M770" s="56">
        <f t="shared" ref="M770:M833" si="50">IF(C770="Traditional",K770,"")</f>
        <v>1.0799999999999998</v>
      </c>
      <c r="N770" s="56" t="str">
        <f t="shared" ref="N770:N833" si="51">IF(H770&gt;G770,"ERROR: Clicks &gt; Impressions",IF(I770&gt;H770,"ERROR: Conversions &gt; Clicks","OK"))</f>
        <v>OK</v>
      </c>
      <c r="O770" s="2"/>
      <c r="P770" s="27"/>
      <c r="Q770" s="2"/>
      <c r="R770" s="2"/>
    </row>
    <row r="771" spans="1:18" x14ac:dyDescent="0.35">
      <c r="A771" s="57">
        <v>70</v>
      </c>
      <c r="B771" s="57" t="s">
        <v>10</v>
      </c>
      <c r="C771" s="57" t="s">
        <v>31</v>
      </c>
      <c r="D771" s="57" t="s">
        <v>22</v>
      </c>
      <c r="E771" s="57" t="s">
        <v>27</v>
      </c>
      <c r="F771" s="58">
        <v>8426.9</v>
      </c>
      <c r="G771" s="57">
        <v>478947</v>
      </c>
      <c r="H771" s="57">
        <v>4272</v>
      </c>
      <c r="I771" s="57">
        <v>1942</v>
      </c>
      <c r="J771" s="58">
        <v>17527.952000000001</v>
      </c>
      <c r="K771" s="55">
        <f t="shared" si="48"/>
        <v>1.0800000000000003</v>
      </c>
      <c r="L771" s="56" t="str">
        <f t="shared" si="49"/>
        <v/>
      </c>
      <c r="M771" s="56">
        <f t="shared" si="50"/>
        <v>1.0800000000000003</v>
      </c>
      <c r="N771" s="56" t="str">
        <f t="shared" si="51"/>
        <v>OK</v>
      </c>
      <c r="O771" s="2"/>
      <c r="P771" s="27"/>
      <c r="Q771" s="2"/>
      <c r="R771" s="2"/>
    </row>
    <row r="772" spans="1:18" x14ac:dyDescent="0.35">
      <c r="A772" s="53">
        <v>127</v>
      </c>
      <c r="B772" s="53" t="s">
        <v>14</v>
      </c>
      <c r="C772" s="53" t="s">
        <v>32</v>
      </c>
      <c r="D772" s="53" t="s">
        <v>19</v>
      </c>
      <c r="E772" s="53" t="s">
        <v>28</v>
      </c>
      <c r="F772" s="54">
        <v>2123.71</v>
      </c>
      <c r="G772" s="53">
        <v>504700</v>
      </c>
      <c r="H772" s="53">
        <v>6938</v>
      </c>
      <c r="I772" s="53">
        <v>385</v>
      </c>
      <c r="J772" s="54">
        <v>4438.5538999999999</v>
      </c>
      <c r="K772" s="55">
        <f t="shared" si="48"/>
        <v>1.0899999999999999</v>
      </c>
      <c r="L772" s="56">
        <f t="shared" si="49"/>
        <v>1.0899999999999999</v>
      </c>
      <c r="M772" s="56" t="str">
        <f t="shared" si="50"/>
        <v/>
      </c>
      <c r="N772" s="56" t="str">
        <f t="shared" si="51"/>
        <v>OK</v>
      </c>
      <c r="O772" s="2"/>
      <c r="P772" s="27"/>
      <c r="Q772" s="2"/>
      <c r="R772" s="2"/>
    </row>
    <row r="773" spans="1:18" x14ac:dyDescent="0.35">
      <c r="A773" s="53">
        <v>203</v>
      </c>
      <c r="B773" s="53" t="s">
        <v>8</v>
      </c>
      <c r="C773" s="53" t="s">
        <v>31</v>
      </c>
      <c r="D773" s="53" t="s">
        <v>22</v>
      </c>
      <c r="E773" s="53" t="s">
        <v>24</v>
      </c>
      <c r="F773" s="54">
        <v>28537.65</v>
      </c>
      <c r="G773" s="53">
        <v>103526</v>
      </c>
      <c r="H773" s="53">
        <v>1330</v>
      </c>
      <c r="I773" s="53">
        <v>585</v>
      </c>
      <c r="J773" s="54">
        <v>59643.688499999997</v>
      </c>
      <c r="K773" s="55">
        <f t="shared" si="48"/>
        <v>1.0899999999999999</v>
      </c>
      <c r="L773" s="56" t="str">
        <f t="shared" si="49"/>
        <v/>
      </c>
      <c r="M773" s="56">
        <f t="shared" si="50"/>
        <v>1.0899999999999999</v>
      </c>
      <c r="N773" s="56" t="str">
        <f t="shared" si="51"/>
        <v>OK</v>
      </c>
      <c r="O773" s="2"/>
      <c r="P773" s="27"/>
      <c r="Q773" s="2"/>
      <c r="R773" s="2"/>
    </row>
    <row r="774" spans="1:18" x14ac:dyDescent="0.35">
      <c r="A774" s="53">
        <v>777</v>
      </c>
      <c r="B774" s="53" t="s">
        <v>11</v>
      </c>
      <c r="C774" s="53" t="s">
        <v>32</v>
      </c>
      <c r="D774" s="53" t="s">
        <v>20</v>
      </c>
      <c r="E774" s="53" t="s">
        <v>29</v>
      </c>
      <c r="F774" s="54">
        <v>32217.45</v>
      </c>
      <c r="G774" s="53">
        <v>958458</v>
      </c>
      <c r="H774" s="53">
        <v>16559</v>
      </c>
      <c r="I774" s="53">
        <v>626</v>
      </c>
      <c r="J774" s="54">
        <v>67334.470499999996</v>
      </c>
      <c r="K774" s="55">
        <f t="shared" si="48"/>
        <v>1.0899999999999999</v>
      </c>
      <c r="L774" s="56">
        <f t="shared" si="49"/>
        <v>1.0899999999999999</v>
      </c>
      <c r="M774" s="56" t="str">
        <f t="shared" si="50"/>
        <v/>
      </c>
      <c r="N774" s="56" t="str">
        <f t="shared" si="51"/>
        <v>OK</v>
      </c>
      <c r="O774" s="2"/>
      <c r="P774" s="27"/>
      <c r="Q774" s="2"/>
      <c r="R774" s="2"/>
    </row>
    <row r="775" spans="1:18" x14ac:dyDescent="0.35">
      <c r="A775" s="53">
        <v>981</v>
      </c>
      <c r="B775" s="53" t="s">
        <v>12</v>
      </c>
      <c r="C775" s="53" t="s">
        <v>32</v>
      </c>
      <c r="D775" s="53" t="s">
        <v>17</v>
      </c>
      <c r="E775" s="53" t="s">
        <v>27</v>
      </c>
      <c r="F775" s="54">
        <v>47697.98</v>
      </c>
      <c r="G775" s="53">
        <v>658456</v>
      </c>
      <c r="H775" s="53">
        <v>8040</v>
      </c>
      <c r="I775" s="53">
        <v>620</v>
      </c>
      <c r="J775" s="54">
        <v>99688.778200000001</v>
      </c>
      <c r="K775" s="55">
        <f t="shared" si="48"/>
        <v>1.0899999999999999</v>
      </c>
      <c r="L775" s="56">
        <f t="shared" si="49"/>
        <v>1.0899999999999999</v>
      </c>
      <c r="M775" s="56" t="str">
        <f t="shared" si="50"/>
        <v/>
      </c>
      <c r="N775" s="56" t="str">
        <f t="shared" si="51"/>
        <v>OK</v>
      </c>
      <c r="O775" s="2"/>
      <c r="P775" s="27"/>
      <c r="Q775" s="2"/>
      <c r="R775" s="2"/>
    </row>
    <row r="776" spans="1:18" x14ac:dyDescent="0.35">
      <c r="A776" s="57">
        <v>576</v>
      </c>
      <c r="B776" s="57" t="s">
        <v>10</v>
      </c>
      <c r="C776" s="57" t="s">
        <v>31</v>
      </c>
      <c r="D776" s="57" t="s">
        <v>18</v>
      </c>
      <c r="E776" s="57" t="s">
        <v>28</v>
      </c>
      <c r="F776" s="58">
        <v>1603.18</v>
      </c>
      <c r="G776" s="57">
        <v>326462</v>
      </c>
      <c r="H776" s="57">
        <v>17380</v>
      </c>
      <c r="I776" s="57">
        <v>601</v>
      </c>
      <c r="J776" s="58">
        <v>3350.6462000000001</v>
      </c>
      <c r="K776" s="55">
        <f t="shared" si="48"/>
        <v>1.0900000000000001</v>
      </c>
      <c r="L776" s="56" t="str">
        <f t="shared" si="49"/>
        <v/>
      </c>
      <c r="M776" s="56">
        <f t="shared" si="50"/>
        <v>1.0900000000000001</v>
      </c>
      <c r="N776" s="56" t="str">
        <f t="shared" si="51"/>
        <v>OK</v>
      </c>
      <c r="O776" s="2"/>
      <c r="P776" s="27"/>
      <c r="Q776" s="2"/>
      <c r="R776" s="2"/>
    </row>
    <row r="777" spans="1:18" x14ac:dyDescent="0.35">
      <c r="A777" s="57">
        <v>846</v>
      </c>
      <c r="B777" s="57" t="s">
        <v>15</v>
      </c>
      <c r="C777" s="57" t="s">
        <v>32</v>
      </c>
      <c r="D777" s="57" t="s">
        <v>22</v>
      </c>
      <c r="E777" s="57" t="s">
        <v>27</v>
      </c>
      <c r="F777" s="58">
        <v>28051.4</v>
      </c>
      <c r="G777" s="57">
        <v>534480</v>
      </c>
      <c r="H777" s="57">
        <v>18343</v>
      </c>
      <c r="I777" s="57">
        <v>1759</v>
      </c>
      <c r="J777" s="58">
        <v>58907.94</v>
      </c>
      <c r="K777" s="55">
        <f t="shared" si="48"/>
        <v>1.0999999999999999</v>
      </c>
      <c r="L777" s="56">
        <f t="shared" si="49"/>
        <v>1.0999999999999999</v>
      </c>
      <c r="M777" s="56" t="str">
        <f t="shared" si="50"/>
        <v/>
      </c>
      <c r="N777" s="56" t="str">
        <f t="shared" si="51"/>
        <v>OK</v>
      </c>
      <c r="O777" s="2"/>
      <c r="P777" s="27"/>
      <c r="Q777" s="2"/>
      <c r="R777" s="2"/>
    </row>
    <row r="778" spans="1:18" x14ac:dyDescent="0.35">
      <c r="A778" s="57">
        <v>616</v>
      </c>
      <c r="B778" s="57" t="s">
        <v>9</v>
      </c>
      <c r="C778" s="57" t="s">
        <v>31</v>
      </c>
      <c r="D778" s="57" t="s">
        <v>20</v>
      </c>
      <c r="E778" s="57" t="s">
        <v>27</v>
      </c>
      <c r="F778" s="58">
        <v>41938.53</v>
      </c>
      <c r="G778" s="57">
        <v>906749</v>
      </c>
      <c r="H778" s="57">
        <v>9001</v>
      </c>
      <c r="I778" s="57">
        <v>1258</v>
      </c>
      <c r="J778" s="58">
        <v>88070.913</v>
      </c>
      <c r="K778" s="55">
        <f t="shared" si="48"/>
        <v>1.1000000000000001</v>
      </c>
      <c r="L778" s="56" t="str">
        <f t="shared" si="49"/>
        <v/>
      </c>
      <c r="M778" s="56">
        <f t="shared" si="50"/>
        <v>1.1000000000000001</v>
      </c>
      <c r="N778" s="56" t="str">
        <f t="shared" si="51"/>
        <v>OK</v>
      </c>
      <c r="O778" s="2"/>
      <c r="P778" s="27"/>
      <c r="Q778" s="2"/>
      <c r="R778" s="2"/>
    </row>
    <row r="779" spans="1:18" x14ac:dyDescent="0.35">
      <c r="A779" s="57">
        <v>746</v>
      </c>
      <c r="B779" s="57" t="s">
        <v>14</v>
      </c>
      <c r="C779" s="57" t="s">
        <v>32</v>
      </c>
      <c r="D779" s="57" t="s">
        <v>21</v>
      </c>
      <c r="E779" s="57" t="s">
        <v>26</v>
      </c>
      <c r="F779" s="58">
        <v>5946.12</v>
      </c>
      <c r="G779" s="57">
        <v>16968</v>
      </c>
      <c r="H779" s="57">
        <v>12762</v>
      </c>
      <c r="I779" s="57">
        <v>24</v>
      </c>
      <c r="J779" s="58">
        <v>12486.852000000001</v>
      </c>
      <c r="K779" s="55">
        <f t="shared" si="48"/>
        <v>1.1000000000000001</v>
      </c>
      <c r="L779" s="56">
        <f t="shared" si="49"/>
        <v>1.1000000000000001</v>
      </c>
      <c r="M779" s="56" t="str">
        <f t="shared" si="50"/>
        <v/>
      </c>
      <c r="N779" s="56" t="str">
        <f t="shared" si="51"/>
        <v>OK</v>
      </c>
      <c r="O779" s="2"/>
      <c r="P779" s="27"/>
      <c r="Q779" s="2"/>
      <c r="R779" s="2"/>
    </row>
    <row r="780" spans="1:18" x14ac:dyDescent="0.35">
      <c r="A780" s="57">
        <v>178</v>
      </c>
      <c r="B780" s="57" t="s">
        <v>9</v>
      </c>
      <c r="C780" s="57" t="s">
        <v>31</v>
      </c>
      <c r="D780" s="57" t="s">
        <v>18</v>
      </c>
      <c r="E780" s="57" t="s">
        <v>25</v>
      </c>
      <c r="F780" s="58">
        <v>45560.12</v>
      </c>
      <c r="G780" s="57">
        <v>506965</v>
      </c>
      <c r="H780" s="57">
        <v>19504</v>
      </c>
      <c r="I780" s="57">
        <v>1500</v>
      </c>
      <c r="J780" s="58">
        <v>96131.853199999998</v>
      </c>
      <c r="K780" s="55">
        <f t="shared" si="48"/>
        <v>1.1099999999999999</v>
      </c>
      <c r="L780" s="56" t="str">
        <f t="shared" si="49"/>
        <v/>
      </c>
      <c r="M780" s="56">
        <f t="shared" si="50"/>
        <v>1.1099999999999999</v>
      </c>
      <c r="N780" s="56" t="str">
        <f t="shared" si="51"/>
        <v>OK</v>
      </c>
      <c r="O780" s="2"/>
      <c r="P780" s="27"/>
      <c r="Q780" s="2"/>
      <c r="R780" s="2"/>
    </row>
    <row r="781" spans="1:18" x14ac:dyDescent="0.35">
      <c r="A781" s="57">
        <v>902</v>
      </c>
      <c r="B781" s="57" t="s">
        <v>12</v>
      </c>
      <c r="C781" s="57" t="s">
        <v>32</v>
      </c>
      <c r="D781" s="57" t="s">
        <v>20</v>
      </c>
      <c r="E781" s="57" t="s">
        <v>27</v>
      </c>
      <c r="F781" s="58">
        <v>11939.91</v>
      </c>
      <c r="G781" s="57">
        <v>365054</v>
      </c>
      <c r="H781" s="57">
        <v>15129</v>
      </c>
      <c r="I781" s="57">
        <v>1954</v>
      </c>
      <c r="J781" s="58">
        <v>25193.2101</v>
      </c>
      <c r="K781" s="55">
        <f t="shared" si="48"/>
        <v>1.1100000000000001</v>
      </c>
      <c r="L781" s="56">
        <f t="shared" si="49"/>
        <v>1.1100000000000001</v>
      </c>
      <c r="M781" s="56" t="str">
        <f t="shared" si="50"/>
        <v/>
      </c>
      <c r="N781" s="56" t="str">
        <f t="shared" si="51"/>
        <v>OK</v>
      </c>
      <c r="O781" s="2"/>
      <c r="P781" s="27"/>
      <c r="Q781" s="2"/>
      <c r="R781" s="2"/>
    </row>
    <row r="782" spans="1:18" x14ac:dyDescent="0.35">
      <c r="A782" s="53">
        <v>79</v>
      </c>
      <c r="B782" s="53" t="s">
        <v>8</v>
      </c>
      <c r="C782" s="53" t="s">
        <v>31</v>
      </c>
      <c r="D782" s="53" t="s">
        <v>22</v>
      </c>
      <c r="E782" s="53" t="s">
        <v>24</v>
      </c>
      <c r="F782" s="54">
        <v>44191.09</v>
      </c>
      <c r="G782" s="53">
        <v>690089</v>
      </c>
      <c r="H782" s="53">
        <v>1056</v>
      </c>
      <c r="I782" s="53">
        <v>1887</v>
      </c>
      <c r="J782" s="54">
        <v>93243.199900000007</v>
      </c>
      <c r="K782" s="55">
        <f t="shared" si="48"/>
        <v>1.1100000000000003</v>
      </c>
      <c r="L782" s="56" t="str">
        <f t="shared" si="49"/>
        <v/>
      </c>
      <c r="M782" s="56">
        <f t="shared" si="50"/>
        <v>1.1100000000000003</v>
      </c>
      <c r="N782" s="56" t="str">
        <f t="shared" si="51"/>
        <v>ERROR: Conversions &gt; Clicks</v>
      </c>
      <c r="O782" s="2"/>
      <c r="P782" s="27"/>
      <c r="Q782" s="2"/>
      <c r="R782" s="2"/>
    </row>
    <row r="783" spans="1:18" x14ac:dyDescent="0.35">
      <c r="A783" s="57">
        <v>748</v>
      </c>
      <c r="B783" s="57" t="s">
        <v>8</v>
      </c>
      <c r="C783" s="57" t="s">
        <v>31</v>
      </c>
      <c r="D783" s="57" t="s">
        <v>20</v>
      </c>
      <c r="E783" s="57" t="s">
        <v>26</v>
      </c>
      <c r="F783" s="58">
        <v>34405.68</v>
      </c>
      <c r="G783" s="57">
        <v>848357</v>
      </c>
      <c r="H783" s="57">
        <v>1148</v>
      </c>
      <c r="I783" s="57">
        <v>200</v>
      </c>
      <c r="J783" s="58">
        <v>72940.041599999997</v>
      </c>
      <c r="K783" s="55">
        <f t="shared" si="48"/>
        <v>1.1199999999999999</v>
      </c>
      <c r="L783" s="56" t="str">
        <f t="shared" si="49"/>
        <v/>
      </c>
      <c r="M783" s="56">
        <f t="shared" si="50"/>
        <v>1.1199999999999999</v>
      </c>
      <c r="N783" s="56" t="str">
        <f t="shared" si="51"/>
        <v>OK</v>
      </c>
      <c r="O783" s="2"/>
      <c r="P783" s="27"/>
      <c r="Q783" s="2"/>
      <c r="R783" s="2"/>
    </row>
    <row r="784" spans="1:18" x14ac:dyDescent="0.35">
      <c r="A784" s="53">
        <v>377</v>
      </c>
      <c r="B784" s="53" t="s">
        <v>12</v>
      </c>
      <c r="C784" s="53" t="s">
        <v>32</v>
      </c>
      <c r="D784" s="53" t="s">
        <v>18</v>
      </c>
      <c r="E784" s="53" t="s">
        <v>29</v>
      </c>
      <c r="F784" s="54">
        <v>12405.39</v>
      </c>
      <c r="G784" s="53">
        <v>160653</v>
      </c>
      <c r="H784" s="53">
        <v>15688</v>
      </c>
      <c r="I784" s="53">
        <v>1712</v>
      </c>
      <c r="J784" s="54">
        <v>26299.426800000001</v>
      </c>
      <c r="K784" s="55">
        <f t="shared" si="48"/>
        <v>1.1200000000000001</v>
      </c>
      <c r="L784" s="56">
        <f t="shared" si="49"/>
        <v>1.1200000000000001</v>
      </c>
      <c r="M784" s="56" t="str">
        <f t="shared" si="50"/>
        <v/>
      </c>
      <c r="N784" s="56" t="str">
        <f t="shared" si="51"/>
        <v>OK</v>
      </c>
      <c r="O784" s="2"/>
      <c r="P784" s="27"/>
      <c r="Q784" s="2"/>
      <c r="R784" s="2"/>
    </row>
    <row r="785" spans="1:18" x14ac:dyDescent="0.35">
      <c r="A785" s="53">
        <v>799</v>
      </c>
      <c r="B785" s="53" t="s">
        <v>11</v>
      </c>
      <c r="C785" s="53" t="s">
        <v>32</v>
      </c>
      <c r="D785" s="53" t="s">
        <v>22</v>
      </c>
      <c r="E785" s="53" t="s">
        <v>27</v>
      </c>
      <c r="F785" s="54">
        <v>44890.61</v>
      </c>
      <c r="G785" s="53">
        <v>537741</v>
      </c>
      <c r="H785" s="53">
        <v>19335</v>
      </c>
      <c r="I785" s="53">
        <v>1541</v>
      </c>
      <c r="J785" s="54">
        <v>95168.093200000003</v>
      </c>
      <c r="K785" s="55">
        <f t="shared" si="48"/>
        <v>1.1200000000000001</v>
      </c>
      <c r="L785" s="56">
        <f t="shared" si="49"/>
        <v>1.1200000000000001</v>
      </c>
      <c r="M785" s="56" t="str">
        <f t="shared" si="50"/>
        <v/>
      </c>
      <c r="N785" s="56" t="str">
        <f t="shared" si="51"/>
        <v>OK</v>
      </c>
      <c r="O785" s="2"/>
      <c r="P785" s="27"/>
      <c r="Q785" s="2"/>
      <c r="R785" s="2"/>
    </row>
    <row r="786" spans="1:18" x14ac:dyDescent="0.35">
      <c r="A786" s="53">
        <v>989</v>
      </c>
      <c r="B786" s="53" t="s">
        <v>14</v>
      </c>
      <c r="C786" s="53" t="s">
        <v>32</v>
      </c>
      <c r="D786" s="53" t="s">
        <v>21</v>
      </c>
      <c r="E786" s="53" t="s">
        <v>26</v>
      </c>
      <c r="F786" s="54">
        <v>1695.31</v>
      </c>
      <c r="G786" s="53">
        <v>813806</v>
      </c>
      <c r="H786" s="53">
        <v>964</v>
      </c>
      <c r="I786" s="53">
        <v>1128</v>
      </c>
      <c r="J786" s="54">
        <v>3594.0572000000002</v>
      </c>
      <c r="K786" s="55">
        <f t="shared" si="48"/>
        <v>1.1200000000000001</v>
      </c>
      <c r="L786" s="56">
        <f t="shared" si="49"/>
        <v>1.1200000000000001</v>
      </c>
      <c r="M786" s="56" t="str">
        <f t="shared" si="50"/>
        <v/>
      </c>
      <c r="N786" s="56" t="str">
        <f t="shared" si="51"/>
        <v>ERROR: Conversions &gt; Clicks</v>
      </c>
      <c r="O786" s="2"/>
      <c r="P786" s="27"/>
      <c r="Q786" s="2"/>
      <c r="R786" s="2"/>
    </row>
    <row r="787" spans="1:18" x14ac:dyDescent="0.35">
      <c r="A787" s="57">
        <v>634</v>
      </c>
      <c r="B787" s="57" t="s">
        <v>11</v>
      </c>
      <c r="C787" s="57" t="s">
        <v>32</v>
      </c>
      <c r="D787" s="57" t="s">
        <v>20</v>
      </c>
      <c r="E787" s="57" t="s">
        <v>26</v>
      </c>
      <c r="F787" s="58">
        <v>42088.91</v>
      </c>
      <c r="G787" s="57">
        <v>153927</v>
      </c>
      <c r="H787" s="57">
        <v>10383</v>
      </c>
      <c r="I787" s="57">
        <v>349</v>
      </c>
      <c r="J787" s="58">
        <v>89649.378299999997</v>
      </c>
      <c r="K787" s="55">
        <f t="shared" si="48"/>
        <v>1.1299999999999997</v>
      </c>
      <c r="L787" s="56">
        <f t="shared" si="49"/>
        <v>1.1299999999999997</v>
      </c>
      <c r="M787" s="56" t="str">
        <f t="shared" si="50"/>
        <v/>
      </c>
      <c r="N787" s="56" t="str">
        <f t="shared" si="51"/>
        <v>OK</v>
      </c>
      <c r="O787" s="2"/>
      <c r="P787" s="27"/>
      <c r="Q787" s="2"/>
      <c r="R787" s="2"/>
    </row>
    <row r="788" spans="1:18" x14ac:dyDescent="0.35">
      <c r="A788" s="57">
        <v>88</v>
      </c>
      <c r="B788" s="57" t="s">
        <v>11</v>
      </c>
      <c r="C788" s="57" t="s">
        <v>32</v>
      </c>
      <c r="D788" s="57" t="s">
        <v>22</v>
      </c>
      <c r="E788" s="57" t="s">
        <v>27</v>
      </c>
      <c r="F788" s="58">
        <v>34706.32</v>
      </c>
      <c r="G788" s="57">
        <v>777876</v>
      </c>
      <c r="H788" s="57">
        <v>2950</v>
      </c>
      <c r="I788" s="57">
        <v>1952</v>
      </c>
      <c r="J788" s="58">
        <v>73924.461599999995</v>
      </c>
      <c r="K788" s="55">
        <f t="shared" si="48"/>
        <v>1.1299999999999999</v>
      </c>
      <c r="L788" s="56">
        <f t="shared" si="49"/>
        <v>1.1299999999999999</v>
      </c>
      <c r="M788" s="56" t="str">
        <f t="shared" si="50"/>
        <v/>
      </c>
      <c r="N788" s="56" t="str">
        <f t="shared" si="51"/>
        <v>OK</v>
      </c>
      <c r="O788" s="2"/>
      <c r="P788" s="27"/>
      <c r="Q788" s="2"/>
      <c r="R788" s="2"/>
    </row>
    <row r="789" spans="1:18" x14ac:dyDescent="0.35">
      <c r="A789" s="57">
        <v>404</v>
      </c>
      <c r="B789" s="57" t="s">
        <v>11</v>
      </c>
      <c r="C789" s="57" t="s">
        <v>32</v>
      </c>
      <c r="D789" s="57" t="s">
        <v>22</v>
      </c>
      <c r="E789" s="57" t="s">
        <v>29</v>
      </c>
      <c r="F789" s="58">
        <v>31445.88</v>
      </c>
      <c r="G789" s="57">
        <v>411062</v>
      </c>
      <c r="H789" s="57">
        <v>12952</v>
      </c>
      <c r="I789" s="57">
        <v>1420</v>
      </c>
      <c r="J789" s="58">
        <v>66979.724400000006</v>
      </c>
      <c r="K789" s="55">
        <f t="shared" si="48"/>
        <v>1.1300000000000001</v>
      </c>
      <c r="L789" s="56">
        <f t="shared" si="49"/>
        <v>1.1300000000000001</v>
      </c>
      <c r="M789" s="56" t="str">
        <f t="shared" si="50"/>
        <v/>
      </c>
      <c r="N789" s="56" t="str">
        <f t="shared" si="51"/>
        <v>OK</v>
      </c>
      <c r="O789" s="2"/>
      <c r="P789" s="27"/>
      <c r="Q789" s="2"/>
      <c r="R789" s="2"/>
    </row>
    <row r="790" spans="1:18" x14ac:dyDescent="0.35">
      <c r="A790" s="57">
        <v>912</v>
      </c>
      <c r="B790" s="57" t="s">
        <v>15</v>
      </c>
      <c r="C790" s="57" t="s">
        <v>32</v>
      </c>
      <c r="D790" s="57" t="s">
        <v>17</v>
      </c>
      <c r="E790" s="57" t="s">
        <v>29</v>
      </c>
      <c r="F790" s="58">
        <v>30701.18</v>
      </c>
      <c r="G790" s="57">
        <v>178017</v>
      </c>
      <c r="H790" s="57">
        <v>1115</v>
      </c>
      <c r="I790" s="57">
        <v>1515</v>
      </c>
      <c r="J790" s="58">
        <v>65393.513400000003</v>
      </c>
      <c r="K790" s="55">
        <f t="shared" si="48"/>
        <v>1.1300000000000001</v>
      </c>
      <c r="L790" s="56">
        <f t="shared" si="49"/>
        <v>1.1300000000000001</v>
      </c>
      <c r="M790" s="56" t="str">
        <f t="shared" si="50"/>
        <v/>
      </c>
      <c r="N790" s="56" t="str">
        <f t="shared" si="51"/>
        <v>ERROR: Conversions &gt; Clicks</v>
      </c>
      <c r="O790" s="2"/>
      <c r="P790" s="27"/>
      <c r="Q790" s="2"/>
      <c r="R790" s="2"/>
    </row>
    <row r="791" spans="1:18" x14ac:dyDescent="0.35">
      <c r="A791" s="57">
        <v>336</v>
      </c>
      <c r="B791" s="57" t="s">
        <v>13</v>
      </c>
      <c r="C791" s="57" t="s">
        <v>32</v>
      </c>
      <c r="D791" s="57" t="s">
        <v>20</v>
      </c>
      <c r="E791" s="57" t="s">
        <v>25</v>
      </c>
      <c r="F791" s="58">
        <v>32931.730000000003</v>
      </c>
      <c r="G791" s="57">
        <v>252188</v>
      </c>
      <c r="H791" s="57">
        <v>8363</v>
      </c>
      <c r="I791" s="57">
        <v>1520</v>
      </c>
      <c r="J791" s="58">
        <v>70473.902199999997</v>
      </c>
      <c r="K791" s="55">
        <f t="shared" si="48"/>
        <v>1.1399999999999997</v>
      </c>
      <c r="L791" s="56">
        <f t="shared" si="49"/>
        <v>1.1399999999999997</v>
      </c>
      <c r="M791" s="56" t="str">
        <f t="shared" si="50"/>
        <v/>
      </c>
      <c r="N791" s="56" t="str">
        <f t="shared" si="51"/>
        <v>OK</v>
      </c>
      <c r="O791" s="2"/>
      <c r="P791" s="27"/>
      <c r="Q791" s="2"/>
      <c r="R791" s="2"/>
    </row>
    <row r="792" spans="1:18" x14ac:dyDescent="0.35">
      <c r="A792" s="57">
        <v>670</v>
      </c>
      <c r="B792" s="57" t="s">
        <v>8</v>
      </c>
      <c r="C792" s="57" t="s">
        <v>31</v>
      </c>
      <c r="D792" s="57" t="s">
        <v>18</v>
      </c>
      <c r="E792" s="57" t="s">
        <v>29</v>
      </c>
      <c r="F792" s="58">
        <v>34357.040000000001</v>
      </c>
      <c r="G792" s="57">
        <v>734174</v>
      </c>
      <c r="H792" s="57">
        <v>3675</v>
      </c>
      <c r="I792" s="57">
        <v>1974</v>
      </c>
      <c r="J792" s="58">
        <v>73524.065600000002</v>
      </c>
      <c r="K792" s="55">
        <f t="shared" si="48"/>
        <v>1.1399999999999999</v>
      </c>
      <c r="L792" s="56" t="str">
        <f t="shared" si="49"/>
        <v/>
      </c>
      <c r="M792" s="56">
        <f t="shared" si="50"/>
        <v>1.1399999999999999</v>
      </c>
      <c r="N792" s="56" t="str">
        <f t="shared" si="51"/>
        <v>OK</v>
      </c>
      <c r="O792" s="2"/>
      <c r="P792" s="27"/>
      <c r="Q792" s="2"/>
      <c r="R792" s="2"/>
    </row>
    <row r="793" spans="1:18" x14ac:dyDescent="0.35">
      <c r="A793" s="53">
        <v>887</v>
      </c>
      <c r="B793" s="53" t="s">
        <v>11</v>
      </c>
      <c r="C793" s="53" t="s">
        <v>32</v>
      </c>
      <c r="D793" s="53" t="s">
        <v>21</v>
      </c>
      <c r="E793" s="53" t="s">
        <v>26</v>
      </c>
      <c r="F793" s="54">
        <v>38353.14</v>
      </c>
      <c r="G793" s="53">
        <v>800666</v>
      </c>
      <c r="H793" s="53">
        <v>11659</v>
      </c>
      <c r="I793" s="53">
        <v>182</v>
      </c>
      <c r="J793" s="54">
        <v>82075.719599999997</v>
      </c>
      <c r="K793" s="55">
        <f t="shared" si="48"/>
        <v>1.1399999999999999</v>
      </c>
      <c r="L793" s="56">
        <f t="shared" si="49"/>
        <v>1.1399999999999999</v>
      </c>
      <c r="M793" s="56" t="str">
        <f t="shared" si="50"/>
        <v/>
      </c>
      <c r="N793" s="56" t="str">
        <f t="shared" si="51"/>
        <v>OK</v>
      </c>
      <c r="O793" s="2"/>
      <c r="P793" s="27"/>
      <c r="Q793" s="2"/>
      <c r="R793" s="2"/>
    </row>
    <row r="794" spans="1:18" x14ac:dyDescent="0.35">
      <c r="A794" s="53">
        <v>751</v>
      </c>
      <c r="B794" s="53" t="s">
        <v>13</v>
      </c>
      <c r="C794" s="53" t="s">
        <v>32</v>
      </c>
      <c r="D794" s="53" t="s">
        <v>19</v>
      </c>
      <c r="E794" s="53" t="s">
        <v>25</v>
      </c>
      <c r="F794" s="54">
        <v>12869.33</v>
      </c>
      <c r="G794" s="53">
        <v>889854</v>
      </c>
      <c r="H794" s="53">
        <v>8005</v>
      </c>
      <c r="I794" s="53">
        <v>630</v>
      </c>
      <c r="J794" s="54">
        <v>27540.3662</v>
      </c>
      <c r="K794" s="55">
        <f t="shared" si="48"/>
        <v>1.1400000000000001</v>
      </c>
      <c r="L794" s="56">
        <f t="shared" si="49"/>
        <v>1.1400000000000001</v>
      </c>
      <c r="M794" s="56" t="str">
        <f t="shared" si="50"/>
        <v/>
      </c>
      <c r="N794" s="56" t="str">
        <f t="shared" si="51"/>
        <v>OK</v>
      </c>
      <c r="O794" s="2"/>
      <c r="P794" s="27"/>
      <c r="Q794" s="2"/>
      <c r="R794" s="2"/>
    </row>
    <row r="795" spans="1:18" x14ac:dyDescent="0.35">
      <c r="A795" s="57">
        <v>266</v>
      </c>
      <c r="B795" s="57" t="s">
        <v>14</v>
      </c>
      <c r="C795" s="57" t="s">
        <v>32</v>
      </c>
      <c r="D795" s="57" t="s">
        <v>21</v>
      </c>
      <c r="E795" s="57" t="s">
        <v>25</v>
      </c>
      <c r="F795" s="58">
        <v>13519.17</v>
      </c>
      <c r="G795" s="57">
        <v>398518</v>
      </c>
      <c r="H795" s="57">
        <v>13857</v>
      </c>
      <c r="I795" s="57">
        <v>1796</v>
      </c>
      <c r="J795" s="58">
        <v>29066.215499999998</v>
      </c>
      <c r="K795" s="55">
        <f t="shared" si="48"/>
        <v>1.1499999999999999</v>
      </c>
      <c r="L795" s="56">
        <f t="shared" si="49"/>
        <v>1.1499999999999999</v>
      </c>
      <c r="M795" s="56" t="str">
        <f t="shared" si="50"/>
        <v/>
      </c>
      <c r="N795" s="56" t="str">
        <f t="shared" si="51"/>
        <v>OK</v>
      </c>
      <c r="O795" s="2"/>
      <c r="P795" s="27"/>
      <c r="Q795" s="2"/>
      <c r="R795" s="2"/>
    </row>
    <row r="796" spans="1:18" x14ac:dyDescent="0.35">
      <c r="A796" s="57">
        <v>414</v>
      </c>
      <c r="B796" s="57" t="s">
        <v>11</v>
      </c>
      <c r="C796" s="57" t="s">
        <v>32</v>
      </c>
      <c r="D796" s="57" t="s">
        <v>22</v>
      </c>
      <c r="E796" s="57" t="s">
        <v>27</v>
      </c>
      <c r="F796" s="58">
        <v>3260.05</v>
      </c>
      <c r="G796" s="57">
        <v>529570</v>
      </c>
      <c r="H796" s="57">
        <v>13509</v>
      </c>
      <c r="I796" s="57">
        <v>1327</v>
      </c>
      <c r="J796" s="58">
        <v>7009.1075000000001</v>
      </c>
      <c r="K796" s="55">
        <f t="shared" si="48"/>
        <v>1.1499999999999999</v>
      </c>
      <c r="L796" s="56">
        <f t="shared" si="49"/>
        <v>1.1499999999999999</v>
      </c>
      <c r="M796" s="56" t="str">
        <f t="shared" si="50"/>
        <v/>
      </c>
      <c r="N796" s="56" t="str">
        <f t="shared" si="51"/>
        <v>OK</v>
      </c>
      <c r="O796" s="2"/>
      <c r="P796" s="27"/>
      <c r="Q796" s="2"/>
      <c r="R796" s="2"/>
    </row>
    <row r="797" spans="1:18" x14ac:dyDescent="0.35">
      <c r="A797" s="57">
        <v>160</v>
      </c>
      <c r="B797" s="57" t="s">
        <v>12</v>
      </c>
      <c r="C797" s="57" t="s">
        <v>32</v>
      </c>
      <c r="D797" s="57" t="s">
        <v>22</v>
      </c>
      <c r="E797" s="57" t="s">
        <v>24</v>
      </c>
      <c r="F797" s="58">
        <v>35312.35</v>
      </c>
      <c r="G797" s="57">
        <v>157745</v>
      </c>
      <c r="H797" s="57">
        <v>19989</v>
      </c>
      <c r="I797" s="57">
        <v>16</v>
      </c>
      <c r="J797" s="58">
        <v>75921.552500000005</v>
      </c>
      <c r="K797" s="55">
        <f t="shared" si="48"/>
        <v>1.1500000000000001</v>
      </c>
      <c r="L797" s="56">
        <f t="shared" si="49"/>
        <v>1.1500000000000001</v>
      </c>
      <c r="M797" s="56" t="str">
        <f t="shared" si="50"/>
        <v/>
      </c>
      <c r="N797" s="56" t="str">
        <f t="shared" si="51"/>
        <v>OK</v>
      </c>
      <c r="O797" s="2"/>
      <c r="P797" s="27"/>
      <c r="Q797" s="2"/>
      <c r="R797" s="2"/>
    </row>
    <row r="798" spans="1:18" x14ac:dyDescent="0.35">
      <c r="A798" s="53">
        <v>269</v>
      </c>
      <c r="B798" s="53" t="s">
        <v>8</v>
      </c>
      <c r="C798" s="53" t="s">
        <v>31</v>
      </c>
      <c r="D798" s="53" t="s">
        <v>22</v>
      </c>
      <c r="E798" s="53" t="s">
        <v>27</v>
      </c>
      <c r="F798" s="54">
        <v>37785.75</v>
      </c>
      <c r="G798" s="53">
        <v>422672</v>
      </c>
      <c r="H798" s="53">
        <v>19620</v>
      </c>
      <c r="I798" s="53">
        <v>269</v>
      </c>
      <c r="J798" s="54">
        <v>81239.362500000003</v>
      </c>
      <c r="K798" s="55">
        <f t="shared" si="48"/>
        <v>1.1500000000000001</v>
      </c>
      <c r="L798" s="56" t="str">
        <f t="shared" si="49"/>
        <v/>
      </c>
      <c r="M798" s="56">
        <f t="shared" si="50"/>
        <v>1.1500000000000001</v>
      </c>
      <c r="N798" s="56" t="str">
        <f t="shared" si="51"/>
        <v>OK</v>
      </c>
      <c r="O798" s="2"/>
      <c r="P798" s="27"/>
      <c r="Q798" s="2"/>
      <c r="R798" s="2"/>
    </row>
    <row r="799" spans="1:18" x14ac:dyDescent="0.35">
      <c r="A799" s="57">
        <v>354</v>
      </c>
      <c r="B799" s="57" t="s">
        <v>13</v>
      </c>
      <c r="C799" s="57" t="s">
        <v>32</v>
      </c>
      <c r="D799" s="57" t="s">
        <v>22</v>
      </c>
      <c r="E799" s="57" t="s">
        <v>27</v>
      </c>
      <c r="F799" s="58">
        <v>40503.599999999999</v>
      </c>
      <c r="G799" s="57">
        <v>337031</v>
      </c>
      <c r="H799" s="57">
        <v>8212</v>
      </c>
      <c r="I799" s="57">
        <v>1556</v>
      </c>
      <c r="J799" s="58">
        <v>87082.74</v>
      </c>
      <c r="K799" s="55">
        <f t="shared" si="48"/>
        <v>1.1500000000000001</v>
      </c>
      <c r="L799" s="56">
        <f t="shared" si="49"/>
        <v>1.1500000000000001</v>
      </c>
      <c r="M799" s="56" t="str">
        <f t="shared" si="50"/>
        <v/>
      </c>
      <c r="N799" s="56" t="str">
        <f t="shared" si="51"/>
        <v>OK</v>
      </c>
      <c r="O799" s="2"/>
      <c r="P799" s="27"/>
      <c r="Q799" s="2"/>
      <c r="R799" s="2"/>
    </row>
    <row r="800" spans="1:18" x14ac:dyDescent="0.35">
      <c r="A800" s="53">
        <v>555</v>
      </c>
      <c r="B800" s="53" t="s">
        <v>11</v>
      </c>
      <c r="C800" s="53" t="s">
        <v>32</v>
      </c>
      <c r="D800" s="53" t="s">
        <v>22</v>
      </c>
      <c r="E800" s="53" t="s">
        <v>26</v>
      </c>
      <c r="F800" s="54">
        <v>20569.07</v>
      </c>
      <c r="G800" s="53">
        <v>264024</v>
      </c>
      <c r="H800" s="53">
        <v>14111</v>
      </c>
      <c r="I800" s="53">
        <v>85</v>
      </c>
      <c r="J800" s="54">
        <v>44223.500500000002</v>
      </c>
      <c r="K800" s="55">
        <f t="shared" si="48"/>
        <v>1.1500000000000001</v>
      </c>
      <c r="L800" s="56">
        <f t="shared" si="49"/>
        <v>1.1500000000000001</v>
      </c>
      <c r="M800" s="56" t="str">
        <f t="shared" si="50"/>
        <v/>
      </c>
      <c r="N800" s="56" t="str">
        <f t="shared" si="51"/>
        <v>OK</v>
      </c>
      <c r="O800" s="2"/>
      <c r="P800" s="27"/>
      <c r="Q800" s="2"/>
      <c r="R800" s="2"/>
    </row>
    <row r="801" spans="1:18" x14ac:dyDescent="0.35">
      <c r="A801" s="53">
        <v>629</v>
      </c>
      <c r="B801" s="53" t="s">
        <v>8</v>
      </c>
      <c r="C801" s="53" t="s">
        <v>31</v>
      </c>
      <c r="D801" s="53" t="s">
        <v>19</v>
      </c>
      <c r="E801" s="53" t="s">
        <v>28</v>
      </c>
      <c r="F801" s="54">
        <v>49025.34</v>
      </c>
      <c r="G801" s="53">
        <v>946800</v>
      </c>
      <c r="H801" s="53">
        <v>18423</v>
      </c>
      <c r="I801" s="53">
        <v>444</v>
      </c>
      <c r="J801" s="54">
        <v>105404.481</v>
      </c>
      <c r="K801" s="55">
        <f t="shared" si="48"/>
        <v>1.1500000000000001</v>
      </c>
      <c r="L801" s="56" t="str">
        <f t="shared" si="49"/>
        <v/>
      </c>
      <c r="M801" s="56">
        <f t="shared" si="50"/>
        <v>1.1500000000000001</v>
      </c>
      <c r="N801" s="56" t="str">
        <f t="shared" si="51"/>
        <v>OK</v>
      </c>
      <c r="O801" s="2"/>
      <c r="P801" s="27"/>
      <c r="Q801" s="2"/>
      <c r="R801" s="2"/>
    </row>
    <row r="802" spans="1:18" x14ac:dyDescent="0.35">
      <c r="A802" s="53">
        <v>663</v>
      </c>
      <c r="B802" s="53" t="s">
        <v>15</v>
      </c>
      <c r="C802" s="53" t="s">
        <v>32</v>
      </c>
      <c r="D802" s="53" t="s">
        <v>20</v>
      </c>
      <c r="E802" s="53" t="s">
        <v>26</v>
      </c>
      <c r="F802" s="54">
        <v>30356.91</v>
      </c>
      <c r="G802" s="53">
        <v>825359</v>
      </c>
      <c r="H802" s="53">
        <v>4987</v>
      </c>
      <c r="I802" s="53">
        <v>306</v>
      </c>
      <c r="J802" s="54">
        <v>65267.356500000002</v>
      </c>
      <c r="K802" s="55">
        <f t="shared" si="48"/>
        <v>1.1500000000000001</v>
      </c>
      <c r="L802" s="56">
        <f t="shared" si="49"/>
        <v>1.1500000000000001</v>
      </c>
      <c r="M802" s="56" t="str">
        <f t="shared" si="50"/>
        <v/>
      </c>
      <c r="N802" s="56" t="str">
        <f t="shared" si="51"/>
        <v>OK</v>
      </c>
      <c r="O802" s="2"/>
      <c r="P802" s="27"/>
      <c r="Q802" s="2"/>
      <c r="R802" s="2"/>
    </row>
    <row r="803" spans="1:18" x14ac:dyDescent="0.35">
      <c r="A803" s="53">
        <v>701</v>
      </c>
      <c r="B803" s="53" t="s">
        <v>14</v>
      </c>
      <c r="C803" s="53" t="s">
        <v>32</v>
      </c>
      <c r="D803" s="53" t="s">
        <v>21</v>
      </c>
      <c r="E803" s="53" t="s">
        <v>25</v>
      </c>
      <c r="F803" s="54">
        <v>16283.05</v>
      </c>
      <c r="G803" s="53">
        <v>873675</v>
      </c>
      <c r="H803" s="53">
        <v>2771</v>
      </c>
      <c r="I803" s="53">
        <v>1771</v>
      </c>
      <c r="J803" s="54">
        <v>35008.557500000003</v>
      </c>
      <c r="K803" s="55">
        <f t="shared" si="48"/>
        <v>1.1500000000000004</v>
      </c>
      <c r="L803" s="56">
        <f t="shared" si="49"/>
        <v>1.1500000000000004</v>
      </c>
      <c r="M803" s="56" t="str">
        <f t="shared" si="50"/>
        <v/>
      </c>
      <c r="N803" s="56" t="str">
        <f t="shared" si="51"/>
        <v>OK</v>
      </c>
      <c r="O803" s="2"/>
      <c r="P803" s="27"/>
      <c r="Q803" s="2"/>
      <c r="R803" s="2"/>
    </row>
    <row r="804" spans="1:18" x14ac:dyDescent="0.35">
      <c r="A804" s="57">
        <v>562</v>
      </c>
      <c r="B804" s="57" t="s">
        <v>9</v>
      </c>
      <c r="C804" s="57" t="s">
        <v>31</v>
      </c>
      <c r="D804" s="57" t="s">
        <v>19</v>
      </c>
      <c r="E804" s="57" t="s">
        <v>29</v>
      </c>
      <c r="F804" s="58">
        <v>19982.240000000002</v>
      </c>
      <c r="G804" s="57">
        <v>14138</v>
      </c>
      <c r="H804" s="57">
        <v>4106</v>
      </c>
      <c r="I804" s="57">
        <v>924</v>
      </c>
      <c r="J804" s="58">
        <v>43161.638400000003</v>
      </c>
      <c r="K804" s="55">
        <f t="shared" si="48"/>
        <v>1.1599999999999999</v>
      </c>
      <c r="L804" s="56" t="str">
        <f t="shared" si="49"/>
        <v/>
      </c>
      <c r="M804" s="56">
        <f t="shared" si="50"/>
        <v>1.1599999999999999</v>
      </c>
      <c r="N804" s="56" t="str">
        <f t="shared" si="51"/>
        <v>OK</v>
      </c>
      <c r="O804" s="2"/>
      <c r="P804" s="27"/>
      <c r="Q804" s="2"/>
      <c r="R804" s="2"/>
    </row>
    <row r="805" spans="1:18" x14ac:dyDescent="0.35">
      <c r="A805" s="57">
        <v>468</v>
      </c>
      <c r="B805" s="57" t="s">
        <v>11</v>
      </c>
      <c r="C805" s="57" t="s">
        <v>32</v>
      </c>
      <c r="D805" s="57" t="s">
        <v>18</v>
      </c>
      <c r="E805" s="57" t="s">
        <v>25</v>
      </c>
      <c r="F805" s="58">
        <v>14178.99</v>
      </c>
      <c r="G805" s="57">
        <v>994558</v>
      </c>
      <c r="H805" s="57">
        <v>2061</v>
      </c>
      <c r="I805" s="57">
        <v>429</v>
      </c>
      <c r="J805" s="58">
        <v>30626.618399999999</v>
      </c>
      <c r="K805" s="55">
        <f t="shared" si="48"/>
        <v>1.1600000000000001</v>
      </c>
      <c r="L805" s="56">
        <f t="shared" si="49"/>
        <v>1.1600000000000001</v>
      </c>
      <c r="M805" s="56" t="str">
        <f t="shared" si="50"/>
        <v/>
      </c>
      <c r="N805" s="56" t="str">
        <f t="shared" si="51"/>
        <v>OK</v>
      </c>
      <c r="O805" s="2"/>
      <c r="P805" s="27"/>
      <c r="Q805" s="2"/>
      <c r="R805" s="2"/>
    </row>
    <row r="806" spans="1:18" x14ac:dyDescent="0.35">
      <c r="A806" s="57">
        <v>84</v>
      </c>
      <c r="B806" s="57" t="s">
        <v>13</v>
      </c>
      <c r="C806" s="57" t="s">
        <v>32</v>
      </c>
      <c r="D806" s="57" t="s">
        <v>18</v>
      </c>
      <c r="E806" s="57" t="s">
        <v>29</v>
      </c>
      <c r="F806" s="58">
        <v>16235.52</v>
      </c>
      <c r="G806" s="57">
        <v>940106</v>
      </c>
      <c r="H806" s="57">
        <v>4560</v>
      </c>
      <c r="I806" s="57">
        <v>867</v>
      </c>
      <c r="J806" s="58">
        <v>35231.078399999999</v>
      </c>
      <c r="K806" s="55">
        <f t="shared" si="48"/>
        <v>1.17</v>
      </c>
      <c r="L806" s="56">
        <f t="shared" si="49"/>
        <v>1.17</v>
      </c>
      <c r="M806" s="56" t="str">
        <f t="shared" si="50"/>
        <v/>
      </c>
      <c r="N806" s="56" t="str">
        <f t="shared" si="51"/>
        <v>OK</v>
      </c>
      <c r="O806" s="2"/>
      <c r="P806" s="27"/>
      <c r="Q806" s="2"/>
      <c r="R806" s="2"/>
    </row>
    <row r="807" spans="1:18" x14ac:dyDescent="0.35">
      <c r="A807" s="57">
        <v>112</v>
      </c>
      <c r="B807" s="57" t="s">
        <v>8</v>
      </c>
      <c r="C807" s="57" t="s">
        <v>31</v>
      </c>
      <c r="D807" s="57" t="s">
        <v>22</v>
      </c>
      <c r="E807" s="57" t="s">
        <v>28</v>
      </c>
      <c r="F807" s="58">
        <v>2424.5</v>
      </c>
      <c r="G807" s="57">
        <v>230462</v>
      </c>
      <c r="H807" s="57">
        <v>9888</v>
      </c>
      <c r="I807" s="57">
        <v>911</v>
      </c>
      <c r="J807" s="58">
        <v>5261.165</v>
      </c>
      <c r="K807" s="55">
        <f t="shared" si="48"/>
        <v>1.17</v>
      </c>
      <c r="L807" s="56" t="str">
        <f t="shared" si="49"/>
        <v/>
      </c>
      <c r="M807" s="56">
        <f t="shared" si="50"/>
        <v>1.17</v>
      </c>
      <c r="N807" s="56" t="str">
        <f t="shared" si="51"/>
        <v>OK</v>
      </c>
      <c r="O807" s="2"/>
      <c r="P807" s="27"/>
      <c r="Q807" s="2"/>
      <c r="R807" s="2"/>
    </row>
    <row r="808" spans="1:18" x14ac:dyDescent="0.35">
      <c r="A808" s="57">
        <v>294</v>
      </c>
      <c r="B808" s="57" t="s">
        <v>14</v>
      </c>
      <c r="C808" s="57" t="s">
        <v>32</v>
      </c>
      <c r="D808" s="57" t="s">
        <v>21</v>
      </c>
      <c r="E808" s="57" t="s">
        <v>28</v>
      </c>
      <c r="F808" s="58">
        <v>28333.19</v>
      </c>
      <c r="G808" s="57">
        <v>272318</v>
      </c>
      <c r="H808" s="57">
        <v>4015</v>
      </c>
      <c r="I808" s="57">
        <v>266</v>
      </c>
      <c r="J808" s="58">
        <v>61483.022299999997</v>
      </c>
      <c r="K808" s="55">
        <f t="shared" si="48"/>
        <v>1.17</v>
      </c>
      <c r="L808" s="56">
        <f t="shared" si="49"/>
        <v>1.17</v>
      </c>
      <c r="M808" s="56" t="str">
        <f t="shared" si="50"/>
        <v/>
      </c>
      <c r="N808" s="56" t="str">
        <f t="shared" si="51"/>
        <v>OK</v>
      </c>
      <c r="O808" s="2"/>
      <c r="P808" s="27"/>
      <c r="Q808" s="2"/>
      <c r="R808" s="2"/>
    </row>
    <row r="809" spans="1:18" x14ac:dyDescent="0.35">
      <c r="A809" s="57">
        <v>382</v>
      </c>
      <c r="B809" s="57" t="s">
        <v>10</v>
      </c>
      <c r="C809" s="57" t="s">
        <v>31</v>
      </c>
      <c r="D809" s="57" t="s">
        <v>21</v>
      </c>
      <c r="E809" s="57" t="s">
        <v>28</v>
      </c>
      <c r="F809" s="58">
        <v>43837.11</v>
      </c>
      <c r="G809" s="57">
        <v>157595</v>
      </c>
      <c r="H809" s="57">
        <v>17370</v>
      </c>
      <c r="I809" s="57">
        <v>1664</v>
      </c>
      <c r="J809" s="58">
        <v>95126.528699999995</v>
      </c>
      <c r="K809" s="55">
        <f t="shared" si="48"/>
        <v>1.17</v>
      </c>
      <c r="L809" s="56" t="str">
        <f t="shared" si="49"/>
        <v/>
      </c>
      <c r="M809" s="56">
        <f t="shared" si="50"/>
        <v>1.17</v>
      </c>
      <c r="N809" s="56" t="str">
        <f t="shared" si="51"/>
        <v>OK</v>
      </c>
      <c r="O809" s="2"/>
      <c r="P809" s="27"/>
      <c r="Q809" s="2"/>
      <c r="R809" s="2"/>
    </row>
    <row r="810" spans="1:18" x14ac:dyDescent="0.35">
      <c r="A810" s="57">
        <v>496</v>
      </c>
      <c r="B810" s="57" t="s">
        <v>8</v>
      </c>
      <c r="C810" s="57" t="s">
        <v>31</v>
      </c>
      <c r="D810" s="57" t="s">
        <v>20</v>
      </c>
      <c r="E810" s="57" t="s">
        <v>25</v>
      </c>
      <c r="F810" s="58">
        <v>41017.43</v>
      </c>
      <c r="G810" s="57">
        <v>440179</v>
      </c>
      <c r="H810" s="57">
        <v>15572</v>
      </c>
      <c r="I810" s="57">
        <v>477</v>
      </c>
      <c r="J810" s="58">
        <v>89007.823099999994</v>
      </c>
      <c r="K810" s="55">
        <f t="shared" si="48"/>
        <v>1.17</v>
      </c>
      <c r="L810" s="56" t="str">
        <f t="shared" si="49"/>
        <v/>
      </c>
      <c r="M810" s="56">
        <f t="shared" si="50"/>
        <v>1.17</v>
      </c>
      <c r="N810" s="56" t="str">
        <f t="shared" si="51"/>
        <v>OK</v>
      </c>
      <c r="O810" s="2"/>
      <c r="P810" s="27"/>
      <c r="Q810" s="2"/>
      <c r="R810" s="2"/>
    </row>
    <row r="811" spans="1:18" x14ac:dyDescent="0.35">
      <c r="A811" s="57">
        <v>848</v>
      </c>
      <c r="B811" s="57" t="s">
        <v>14</v>
      </c>
      <c r="C811" s="57" t="s">
        <v>32</v>
      </c>
      <c r="D811" s="57" t="s">
        <v>19</v>
      </c>
      <c r="E811" s="57" t="s">
        <v>24</v>
      </c>
      <c r="F811" s="58">
        <v>36263.040000000001</v>
      </c>
      <c r="G811" s="57">
        <v>46413</v>
      </c>
      <c r="H811" s="57">
        <v>6892</v>
      </c>
      <c r="I811" s="57">
        <v>965</v>
      </c>
      <c r="J811" s="58">
        <v>78690.796799999996</v>
      </c>
      <c r="K811" s="55">
        <f t="shared" si="48"/>
        <v>1.17</v>
      </c>
      <c r="L811" s="56">
        <f t="shared" si="49"/>
        <v>1.17</v>
      </c>
      <c r="M811" s="56" t="str">
        <f t="shared" si="50"/>
        <v/>
      </c>
      <c r="N811" s="56" t="str">
        <f t="shared" si="51"/>
        <v>OK</v>
      </c>
      <c r="O811" s="2"/>
      <c r="P811" s="27"/>
      <c r="Q811" s="2"/>
      <c r="R811" s="2"/>
    </row>
    <row r="812" spans="1:18" x14ac:dyDescent="0.35">
      <c r="A812" s="57">
        <v>142</v>
      </c>
      <c r="B812" s="57" t="s">
        <v>11</v>
      </c>
      <c r="C812" s="57" t="s">
        <v>32</v>
      </c>
      <c r="D812" s="57" t="s">
        <v>19</v>
      </c>
      <c r="E812" s="57" t="s">
        <v>26</v>
      </c>
      <c r="F812" s="58">
        <v>4064.57</v>
      </c>
      <c r="G812" s="57">
        <v>485406</v>
      </c>
      <c r="H812" s="57">
        <v>6937</v>
      </c>
      <c r="I812" s="57">
        <v>1454</v>
      </c>
      <c r="J812" s="58">
        <v>8820.1169000000009</v>
      </c>
      <c r="K812" s="55">
        <f t="shared" si="48"/>
        <v>1.1700000000000002</v>
      </c>
      <c r="L812" s="56">
        <f t="shared" si="49"/>
        <v>1.1700000000000002</v>
      </c>
      <c r="M812" s="56" t="str">
        <f t="shared" si="50"/>
        <v/>
      </c>
      <c r="N812" s="56" t="str">
        <f t="shared" si="51"/>
        <v>OK</v>
      </c>
      <c r="O812" s="2"/>
      <c r="P812" s="27"/>
      <c r="Q812" s="2"/>
      <c r="R812" s="2"/>
    </row>
    <row r="813" spans="1:18" x14ac:dyDescent="0.35">
      <c r="A813" s="53">
        <v>375</v>
      </c>
      <c r="B813" s="53" t="s">
        <v>11</v>
      </c>
      <c r="C813" s="53" t="s">
        <v>32</v>
      </c>
      <c r="D813" s="53" t="s">
        <v>18</v>
      </c>
      <c r="E813" s="53" t="s">
        <v>28</v>
      </c>
      <c r="F813" s="54">
        <v>38203.19</v>
      </c>
      <c r="G813" s="53">
        <v>141184</v>
      </c>
      <c r="H813" s="53">
        <v>1234</v>
      </c>
      <c r="I813" s="53">
        <v>1896</v>
      </c>
      <c r="J813" s="54">
        <v>83282.954199999993</v>
      </c>
      <c r="K813" s="55">
        <f t="shared" si="48"/>
        <v>1.1799999999999997</v>
      </c>
      <c r="L813" s="56">
        <f t="shared" si="49"/>
        <v>1.1799999999999997</v>
      </c>
      <c r="M813" s="56" t="str">
        <f t="shared" si="50"/>
        <v/>
      </c>
      <c r="N813" s="56" t="str">
        <f t="shared" si="51"/>
        <v>ERROR: Conversions &gt; Clicks</v>
      </c>
      <c r="O813" s="2"/>
      <c r="P813" s="27"/>
      <c r="Q813" s="2"/>
      <c r="R813" s="2"/>
    </row>
    <row r="814" spans="1:18" x14ac:dyDescent="0.35">
      <c r="A814" s="53">
        <v>511</v>
      </c>
      <c r="B814" s="53" t="s">
        <v>11</v>
      </c>
      <c r="C814" s="53" t="s">
        <v>32</v>
      </c>
      <c r="D814" s="53" t="s">
        <v>18</v>
      </c>
      <c r="E814" s="53" t="s">
        <v>27</v>
      </c>
      <c r="F814" s="54">
        <v>33876.21</v>
      </c>
      <c r="G814" s="53">
        <v>406210</v>
      </c>
      <c r="H814" s="53">
        <v>16612</v>
      </c>
      <c r="I814" s="53">
        <v>438</v>
      </c>
      <c r="J814" s="54">
        <v>73850.137799999997</v>
      </c>
      <c r="K814" s="55">
        <f t="shared" si="48"/>
        <v>1.18</v>
      </c>
      <c r="L814" s="56">
        <f t="shared" si="49"/>
        <v>1.18</v>
      </c>
      <c r="M814" s="56" t="str">
        <f t="shared" si="50"/>
        <v/>
      </c>
      <c r="N814" s="56" t="str">
        <f t="shared" si="51"/>
        <v>OK</v>
      </c>
      <c r="O814" s="2"/>
      <c r="P814" s="27"/>
      <c r="Q814" s="2"/>
      <c r="R814" s="2"/>
    </row>
    <row r="815" spans="1:18" x14ac:dyDescent="0.35">
      <c r="A815" s="53">
        <v>227</v>
      </c>
      <c r="B815" s="53" t="s">
        <v>15</v>
      </c>
      <c r="C815" s="53" t="s">
        <v>32</v>
      </c>
      <c r="D815" s="53" t="s">
        <v>19</v>
      </c>
      <c r="E815" s="53" t="s">
        <v>26</v>
      </c>
      <c r="F815" s="54">
        <v>2079.7199999999998</v>
      </c>
      <c r="G815" s="53">
        <v>329759</v>
      </c>
      <c r="H815" s="53">
        <v>10395</v>
      </c>
      <c r="I815" s="53">
        <v>682</v>
      </c>
      <c r="J815" s="54">
        <v>4533.7896000000001</v>
      </c>
      <c r="K815" s="55">
        <f t="shared" si="48"/>
        <v>1.1800000000000002</v>
      </c>
      <c r="L815" s="56">
        <f t="shared" si="49"/>
        <v>1.1800000000000002</v>
      </c>
      <c r="M815" s="56" t="str">
        <f t="shared" si="50"/>
        <v/>
      </c>
      <c r="N815" s="56" t="str">
        <f t="shared" si="51"/>
        <v>OK</v>
      </c>
      <c r="O815" s="2"/>
      <c r="P815" s="27"/>
      <c r="Q815" s="2"/>
      <c r="R815" s="2"/>
    </row>
    <row r="816" spans="1:18" x14ac:dyDescent="0.35">
      <c r="A816" s="53">
        <v>355</v>
      </c>
      <c r="B816" s="53" t="s">
        <v>13</v>
      </c>
      <c r="C816" s="53" t="s">
        <v>32</v>
      </c>
      <c r="D816" s="53" t="s">
        <v>21</v>
      </c>
      <c r="E816" s="53" t="s">
        <v>24</v>
      </c>
      <c r="F816" s="54">
        <v>42343.13</v>
      </c>
      <c r="G816" s="53">
        <v>29477</v>
      </c>
      <c r="H816" s="53">
        <v>8567</v>
      </c>
      <c r="I816" s="53">
        <v>589</v>
      </c>
      <c r="J816" s="54">
        <v>92308.023400000005</v>
      </c>
      <c r="K816" s="55">
        <f t="shared" si="48"/>
        <v>1.1800000000000002</v>
      </c>
      <c r="L816" s="56">
        <f t="shared" si="49"/>
        <v>1.1800000000000002</v>
      </c>
      <c r="M816" s="56" t="str">
        <f t="shared" si="50"/>
        <v/>
      </c>
      <c r="N816" s="56" t="str">
        <f t="shared" si="51"/>
        <v>OK</v>
      </c>
      <c r="O816" s="2"/>
      <c r="P816" s="27"/>
      <c r="Q816" s="2"/>
      <c r="R816" s="2"/>
    </row>
    <row r="817" spans="1:18" x14ac:dyDescent="0.35">
      <c r="A817" s="57">
        <v>992</v>
      </c>
      <c r="B817" s="57" t="s">
        <v>12</v>
      </c>
      <c r="C817" s="57" t="s">
        <v>32</v>
      </c>
      <c r="D817" s="57" t="s">
        <v>21</v>
      </c>
      <c r="E817" s="57" t="s">
        <v>27</v>
      </c>
      <c r="F817" s="58">
        <v>18397.009999999998</v>
      </c>
      <c r="G817" s="57">
        <v>580201</v>
      </c>
      <c r="H817" s="57">
        <v>13766</v>
      </c>
      <c r="I817" s="57">
        <v>1057</v>
      </c>
      <c r="J817" s="58">
        <v>40105.481800000001</v>
      </c>
      <c r="K817" s="55">
        <f t="shared" si="48"/>
        <v>1.1800000000000002</v>
      </c>
      <c r="L817" s="56">
        <f t="shared" si="49"/>
        <v>1.1800000000000002</v>
      </c>
      <c r="M817" s="56" t="str">
        <f t="shared" si="50"/>
        <v/>
      </c>
      <c r="N817" s="56" t="str">
        <f t="shared" si="51"/>
        <v>OK</v>
      </c>
      <c r="O817" s="2"/>
      <c r="P817" s="27"/>
      <c r="Q817" s="2"/>
      <c r="R817" s="2"/>
    </row>
    <row r="818" spans="1:18" x14ac:dyDescent="0.35">
      <c r="A818" s="53">
        <v>31</v>
      </c>
      <c r="B818" s="53" t="s">
        <v>15</v>
      </c>
      <c r="C818" s="53" t="s">
        <v>32</v>
      </c>
      <c r="D818" s="53" t="s">
        <v>21</v>
      </c>
      <c r="E818" s="53" t="s">
        <v>27</v>
      </c>
      <c r="F818" s="54">
        <v>19423.650000000001</v>
      </c>
      <c r="G818" s="53">
        <v>802154</v>
      </c>
      <c r="H818" s="53">
        <v>12326</v>
      </c>
      <c r="I818" s="53">
        <v>1565</v>
      </c>
      <c r="J818" s="54">
        <v>42537.7935</v>
      </c>
      <c r="K818" s="55">
        <f t="shared" si="48"/>
        <v>1.1899999999999997</v>
      </c>
      <c r="L818" s="56">
        <f t="shared" si="49"/>
        <v>1.1899999999999997</v>
      </c>
      <c r="M818" s="56" t="str">
        <f t="shared" si="50"/>
        <v/>
      </c>
      <c r="N818" s="56" t="str">
        <f t="shared" si="51"/>
        <v>OK</v>
      </c>
      <c r="O818" s="2"/>
      <c r="P818" s="27"/>
      <c r="Q818" s="2"/>
      <c r="R818" s="2"/>
    </row>
    <row r="819" spans="1:18" x14ac:dyDescent="0.35">
      <c r="A819" s="53">
        <v>603</v>
      </c>
      <c r="B819" s="53" t="s">
        <v>12</v>
      </c>
      <c r="C819" s="53" t="s">
        <v>32</v>
      </c>
      <c r="D819" s="53" t="s">
        <v>21</v>
      </c>
      <c r="E819" s="53" t="s">
        <v>29</v>
      </c>
      <c r="F819" s="54">
        <v>12195.85</v>
      </c>
      <c r="G819" s="53">
        <v>997410</v>
      </c>
      <c r="H819" s="53">
        <v>16752</v>
      </c>
      <c r="I819" s="53">
        <v>636</v>
      </c>
      <c r="J819" s="54">
        <v>26708.911499999998</v>
      </c>
      <c r="K819" s="55">
        <f t="shared" si="48"/>
        <v>1.1899999999999997</v>
      </c>
      <c r="L819" s="56">
        <f t="shared" si="49"/>
        <v>1.1899999999999997</v>
      </c>
      <c r="M819" s="56" t="str">
        <f t="shared" si="50"/>
        <v/>
      </c>
      <c r="N819" s="56" t="str">
        <f t="shared" si="51"/>
        <v>OK</v>
      </c>
      <c r="O819" s="2"/>
      <c r="P819" s="27"/>
      <c r="Q819" s="2"/>
      <c r="R819" s="2"/>
    </row>
    <row r="820" spans="1:18" x14ac:dyDescent="0.35">
      <c r="A820" s="53">
        <v>921</v>
      </c>
      <c r="B820" s="53" t="s">
        <v>15</v>
      </c>
      <c r="C820" s="53" t="s">
        <v>32</v>
      </c>
      <c r="D820" s="53" t="s">
        <v>17</v>
      </c>
      <c r="E820" s="53" t="s">
        <v>26</v>
      </c>
      <c r="F820" s="54">
        <v>3926.11</v>
      </c>
      <c r="G820" s="53">
        <v>960906</v>
      </c>
      <c r="H820" s="53">
        <v>11964</v>
      </c>
      <c r="I820" s="53">
        <v>697</v>
      </c>
      <c r="J820" s="54">
        <v>8598.1808999999994</v>
      </c>
      <c r="K820" s="55">
        <f t="shared" si="48"/>
        <v>1.1899999999999997</v>
      </c>
      <c r="L820" s="56">
        <f t="shared" si="49"/>
        <v>1.1899999999999997</v>
      </c>
      <c r="M820" s="56" t="str">
        <f t="shared" si="50"/>
        <v/>
      </c>
      <c r="N820" s="56" t="str">
        <f t="shared" si="51"/>
        <v>OK</v>
      </c>
      <c r="O820" s="2"/>
      <c r="P820" s="27"/>
      <c r="Q820" s="2"/>
      <c r="R820" s="2"/>
    </row>
    <row r="821" spans="1:18" x14ac:dyDescent="0.35">
      <c r="A821" s="53">
        <v>187</v>
      </c>
      <c r="B821" s="53" t="s">
        <v>14</v>
      </c>
      <c r="C821" s="53" t="s">
        <v>32</v>
      </c>
      <c r="D821" s="53" t="s">
        <v>18</v>
      </c>
      <c r="E821" s="53" t="s">
        <v>26</v>
      </c>
      <c r="F821" s="54">
        <v>1656.73</v>
      </c>
      <c r="G821" s="53">
        <v>834834</v>
      </c>
      <c r="H821" s="53">
        <v>6682</v>
      </c>
      <c r="I821" s="53">
        <v>972</v>
      </c>
      <c r="J821" s="54">
        <v>3628.2386999999999</v>
      </c>
      <c r="K821" s="55">
        <f t="shared" si="48"/>
        <v>1.19</v>
      </c>
      <c r="L821" s="56">
        <f t="shared" si="49"/>
        <v>1.19</v>
      </c>
      <c r="M821" s="56" t="str">
        <f t="shared" si="50"/>
        <v/>
      </c>
      <c r="N821" s="56" t="str">
        <f t="shared" si="51"/>
        <v>OK</v>
      </c>
      <c r="O821" s="2"/>
      <c r="P821" s="27"/>
      <c r="Q821" s="2"/>
      <c r="R821" s="2"/>
    </row>
    <row r="822" spans="1:18" x14ac:dyDescent="0.35">
      <c r="A822" s="53">
        <v>763</v>
      </c>
      <c r="B822" s="53" t="s">
        <v>15</v>
      </c>
      <c r="C822" s="53" t="s">
        <v>32</v>
      </c>
      <c r="D822" s="53" t="s">
        <v>17</v>
      </c>
      <c r="E822" s="53" t="s">
        <v>28</v>
      </c>
      <c r="F822" s="54">
        <v>29579.62</v>
      </c>
      <c r="G822" s="53">
        <v>644102</v>
      </c>
      <c r="H822" s="53">
        <v>14556</v>
      </c>
      <c r="I822" s="53">
        <v>1294</v>
      </c>
      <c r="J822" s="54">
        <v>64779.3678</v>
      </c>
      <c r="K822" s="55">
        <f t="shared" si="48"/>
        <v>1.19</v>
      </c>
      <c r="L822" s="56">
        <f t="shared" si="49"/>
        <v>1.19</v>
      </c>
      <c r="M822" s="56" t="str">
        <f t="shared" si="50"/>
        <v/>
      </c>
      <c r="N822" s="56" t="str">
        <f t="shared" si="51"/>
        <v>OK</v>
      </c>
      <c r="O822" s="2"/>
      <c r="P822" s="27"/>
      <c r="Q822" s="2"/>
      <c r="R822" s="2"/>
    </row>
    <row r="823" spans="1:18" x14ac:dyDescent="0.35">
      <c r="A823" s="53">
        <v>77</v>
      </c>
      <c r="B823" s="53" t="s">
        <v>12</v>
      </c>
      <c r="C823" s="53" t="s">
        <v>32</v>
      </c>
      <c r="D823" s="53" t="s">
        <v>20</v>
      </c>
      <c r="E823" s="53" t="s">
        <v>24</v>
      </c>
      <c r="F823" s="54">
        <v>40775.86</v>
      </c>
      <c r="G823" s="53">
        <v>597520</v>
      </c>
      <c r="H823" s="53">
        <v>9967</v>
      </c>
      <c r="I823" s="53">
        <v>1982</v>
      </c>
      <c r="J823" s="54">
        <v>89299.133400000006</v>
      </c>
      <c r="K823" s="55">
        <f t="shared" si="48"/>
        <v>1.1900000000000002</v>
      </c>
      <c r="L823" s="56">
        <f t="shared" si="49"/>
        <v>1.1900000000000002</v>
      </c>
      <c r="M823" s="56" t="str">
        <f t="shared" si="50"/>
        <v/>
      </c>
      <c r="N823" s="56" t="str">
        <f t="shared" si="51"/>
        <v>OK</v>
      </c>
      <c r="O823" s="2"/>
      <c r="P823" s="27"/>
      <c r="Q823" s="2"/>
      <c r="R823" s="2"/>
    </row>
    <row r="824" spans="1:18" x14ac:dyDescent="0.35">
      <c r="A824" s="53">
        <v>693</v>
      </c>
      <c r="B824" s="53" t="s">
        <v>15</v>
      </c>
      <c r="C824" s="53" t="s">
        <v>32</v>
      </c>
      <c r="D824" s="53" t="s">
        <v>22</v>
      </c>
      <c r="E824" s="53" t="s">
        <v>24</v>
      </c>
      <c r="F824" s="54">
        <v>40522.879999999997</v>
      </c>
      <c r="G824" s="53">
        <v>319550</v>
      </c>
      <c r="H824" s="53">
        <v>19701</v>
      </c>
      <c r="I824" s="53">
        <v>438</v>
      </c>
      <c r="J824" s="54">
        <v>88745.107199999999</v>
      </c>
      <c r="K824" s="55">
        <f t="shared" si="48"/>
        <v>1.1900000000000002</v>
      </c>
      <c r="L824" s="56">
        <f t="shared" si="49"/>
        <v>1.1900000000000002</v>
      </c>
      <c r="M824" s="56" t="str">
        <f t="shared" si="50"/>
        <v/>
      </c>
      <c r="N824" s="56" t="str">
        <f t="shared" si="51"/>
        <v>OK</v>
      </c>
      <c r="O824" s="2"/>
      <c r="P824" s="27"/>
      <c r="Q824" s="2"/>
      <c r="R824" s="2"/>
    </row>
    <row r="825" spans="1:18" x14ac:dyDescent="0.35">
      <c r="A825" s="57">
        <v>806</v>
      </c>
      <c r="B825" s="57" t="s">
        <v>12</v>
      </c>
      <c r="C825" s="57" t="s">
        <v>32</v>
      </c>
      <c r="D825" s="57" t="s">
        <v>22</v>
      </c>
      <c r="E825" s="57" t="s">
        <v>24</v>
      </c>
      <c r="F825" s="58">
        <v>41509.019999999997</v>
      </c>
      <c r="G825" s="57">
        <v>881712</v>
      </c>
      <c r="H825" s="57">
        <v>1504</v>
      </c>
      <c r="I825" s="57">
        <v>581</v>
      </c>
      <c r="J825" s="58">
        <v>90904.753800000006</v>
      </c>
      <c r="K825" s="55">
        <f t="shared" si="48"/>
        <v>1.1900000000000004</v>
      </c>
      <c r="L825" s="56">
        <f t="shared" si="49"/>
        <v>1.1900000000000004</v>
      </c>
      <c r="M825" s="56" t="str">
        <f t="shared" si="50"/>
        <v/>
      </c>
      <c r="N825" s="56" t="str">
        <f t="shared" si="51"/>
        <v>OK</v>
      </c>
      <c r="O825" s="2"/>
      <c r="P825" s="27"/>
      <c r="Q825" s="2"/>
      <c r="R825" s="2"/>
    </row>
    <row r="826" spans="1:18" x14ac:dyDescent="0.35">
      <c r="A826" s="57">
        <v>850</v>
      </c>
      <c r="B826" s="57" t="s">
        <v>10</v>
      </c>
      <c r="C826" s="57" t="s">
        <v>31</v>
      </c>
      <c r="D826" s="57" t="s">
        <v>19</v>
      </c>
      <c r="E826" s="57" t="s">
        <v>27</v>
      </c>
      <c r="F826" s="58">
        <v>43618.400000000001</v>
      </c>
      <c r="G826" s="57">
        <v>573370</v>
      </c>
      <c r="H826" s="57">
        <v>10474</v>
      </c>
      <c r="I826" s="57">
        <v>903</v>
      </c>
      <c r="J826" s="58">
        <v>95960.48</v>
      </c>
      <c r="K826" s="55">
        <f t="shared" si="48"/>
        <v>1.1999999999999997</v>
      </c>
      <c r="L826" s="56" t="str">
        <f t="shared" si="49"/>
        <v/>
      </c>
      <c r="M826" s="56">
        <f t="shared" si="50"/>
        <v>1.1999999999999997</v>
      </c>
      <c r="N826" s="56" t="str">
        <f t="shared" si="51"/>
        <v>OK</v>
      </c>
      <c r="O826" s="2"/>
      <c r="P826" s="27"/>
      <c r="Q826" s="2"/>
      <c r="R826" s="2"/>
    </row>
    <row r="827" spans="1:18" x14ac:dyDescent="0.35">
      <c r="A827" s="57">
        <v>184</v>
      </c>
      <c r="B827" s="57" t="s">
        <v>9</v>
      </c>
      <c r="C827" s="57" t="s">
        <v>31</v>
      </c>
      <c r="D827" s="57" t="s">
        <v>20</v>
      </c>
      <c r="E827" s="57" t="s">
        <v>25</v>
      </c>
      <c r="F827" s="58">
        <v>20542.97</v>
      </c>
      <c r="G827" s="57">
        <v>908662</v>
      </c>
      <c r="H827" s="57">
        <v>12683</v>
      </c>
      <c r="I827" s="57">
        <v>807</v>
      </c>
      <c r="J827" s="58">
        <v>45194.534</v>
      </c>
      <c r="K827" s="55">
        <f t="shared" si="48"/>
        <v>1.2</v>
      </c>
      <c r="L827" s="56" t="str">
        <f t="shared" si="49"/>
        <v/>
      </c>
      <c r="M827" s="56">
        <f t="shared" si="50"/>
        <v>1.2</v>
      </c>
      <c r="N827" s="56" t="str">
        <f t="shared" si="51"/>
        <v>OK</v>
      </c>
      <c r="O827" s="2"/>
      <c r="P827" s="27"/>
      <c r="Q827" s="2"/>
      <c r="R827" s="2"/>
    </row>
    <row r="828" spans="1:18" x14ac:dyDescent="0.35">
      <c r="A828" s="57">
        <v>192</v>
      </c>
      <c r="B828" s="57" t="s">
        <v>9</v>
      </c>
      <c r="C828" s="57" t="s">
        <v>31</v>
      </c>
      <c r="D828" s="57" t="s">
        <v>22</v>
      </c>
      <c r="E828" s="57" t="s">
        <v>26</v>
      </c>
      <c r="F828" s="58">
        <v>14505</v>
      </c>
      <c r="G828" s="57">
        <v>872147</v>
      </c>
      <c r="H828" s="57">
        <v>1362</v>
      </c>
      <c r="I828" s="57">
        <v>1126</v>
      </c>
      <c r="J828" s="58">
        <v>31911</v>
      </c>
      <c r="K828" s="55">
        <f t="shared" si="48"/>
        <v>1.2</v>
      </c>
      <c r="L828" s="56" t="str">
        <f t="shared" si="49"/>
        <v/>
      </c>
      <c r="M828" s="56">
        <f t="shared" si="50"/>
        <v>1.2</v>
      </c>
      <c r="N828" s="56" t="str">
        <f t="shared" si="51"/>
        <v>OK</v>
      </c>
      <c r="O828" s="2"/>
      <c r="P828" s="27"/>
      <c r="Q828" s="2"/>
      <c r="R828" s="2"/>
    </row>
    <row r="829" spans="1:18" x14ac:dyDescent="0.35">
      <c r="A829" s="57">
        <v>352</v>
      </c>
      <c r="B829" s="57" t="s">
        <v>11</v>
      </c>
      <c r="C829" s="57" t="s">
        <v>32</v>
      </c>
      <c r="D829" s="57" t="s">
        <v>22</v>
      </c>
      <c r="E829" s="57" t="s">
        <v>26</v>
      </c>
      <c r="F829" s="58">
        <v>29285.24</v>
      </c>
      <c r="G829" s="57">
        <v>37798</v>
      </c>
      <c r="H829" s="57">
        <v>10978</v>
      </c>
      <c r="I829" s="57">
        <v>1640</v>
      </c>
      <c r="J829" s="58">
        <v>64427.527999999998</v>
      </c>
      <c r="K829" s="55">
        <f t="shared" si="48"/>
        <v>1.2</v>
      </c>
      <c r="L829" s="56">
        <f t="shared" si="49"/>
        <v>1.2</v>
      </c>
      <c r="M829" s="56" t="str">
        <f t="shared" si="50"/>
        <v/>
      </c>
      <c r="N829" s="56" t="str">
        <f t="shared" si="51"/>
        <v>OK</v>
      </c>
      <c r="O829" s="2"/>
      <c r="P829" s="27"/>
      <c r="Q829" s="2"/>
      <c r="R829" s="2"/>
    </row>
    <row r="830" spans="1:18" x14ac:dyDescent="0.35">
      <c r="A830" s="57">
        <v>646</v>
      </c>
      <c r="B830" s="57" t="s">
        <v>15</v>
      </c>
      <c r="C830" s="57" t="s">
        <v>32</v>
      </c>
      <c r="D830" s="57" t="s">
        <v>18</v>
      </c>
      <c r="E830" s="57" t="s">
        <v>25</v>
      </c>
      <c r="F830" s="58">
        <v>49985.98</v>
      </c>
      <c r="G830" s="57">
        <v>497025</v>
      </c>
      <c r="H830" s="57">
        <v>2056</v>
      </c>
      <c r="I830" s="57">
        <v>121</v>
      </c>
      <c r="J830" s="58">
        <v>109969.156</v>
      </c>
      <c r="K830" s="55">
        <f t="shared" si="48"/>
        <v>1.2</v>
      </c>
      <c r="L830" s="56">
        <f t="shared" si="49"/>
        <v>1.2</v>
      </c>
      <c r="M830" s="56" t="str">
        <f t="shared" si="50"/>
        <v/>
      </c>
      <c r="N830" s="56" t="str">
        <f t="shared" si="51"/>
        <v>OK</v>
      </c>
      <c r="O830" s="2"/>
      <c r="P830" s="27"/>
      <c r="Q830" s="2"/>
      <c r="R830" s="2"/>
    </row>
    <row r="831" spans="1:18" x14ac:dyDescent="0.35">
      <c r="A831" s="53">
        <v>649</v>
      </c>
      <c r="B831" s="53" t="s">
        <v>13</v>
      </c>
      <c r="C831" s="53" t="s">
        <v>32</v>
      </c>
      <c r="D831" s="53" t="s">
        <v>22</v>
      </c>
      <c r="E831" s="53" t="s">
        <v>28</v>
      </c>
      <c r="F831" s="54">
        <v>11158.14</v>
      </c>
      <c r="G831" s="53">
        <v>15668</v>
      </c>
      <c r="H831" s="53">
        <v>14433</v>
      </c>
      <c r="I831" s="53">
        <v>1210</v>
      </c>
      <c r="J831" s="54">
        <v>24547.907999999999</v>
      </c>
      <c r="K831" s="55">
        <f t="shared" si="48"/>
        <v>1.2</v>
      </c>
      <c r="L831" s="56">
        <f t="shared" si="49"/>
        <v>1.2</v>
      </c>
      <c r="M831" s="56" t="str">
        <f t="shared" si="50"/>
        <v/>
      </c>
      <c r="N831" s="56" t="str">
        <f t="shared" si="51"/>
        <v>OK</v>
      </c>
      <c r="O831" s="2"/>
      <c r="P831" s="27"/>
      <c r="Q831" s="2"/>
      <c r="R831" s="2"/>
    </row>
    <row r="832" spans="1:18" x14ac:dyDescent="0.35">
      <c r="A832" s="53">
        <v>739</v>
      </c>
      <c r="B832" s="53" t="s">
        <v>15</v>
      </c>
      <c r="C832" s="53" t="s">
        <v>32</v>
      </c>
      <c r="D832" s="53" t="s">
        <v>18</v>
      </c>
      <c r="E832" s="53" t="s">
        <v>29</v>
      </c>
      <c r="F832" s="54">
        <v>2200.42</v>
      </c>
      <c r="G832" s="53">
        <v>436070</v>
      </c>
      <c r="H832" s="53">
        <v>12417</v>
      </c>
      <c r="I832" s="53">
        <v>283</v>
      </c>
      <c r="J832" s="54">
        <v>4840.924</v>
      </c>
      <c r="K832" s="55">
        <f t="shared" si="48"/>
        <v>1.2</v>
      </c>
      <c r="L832" s="56">
        <f t="shared" si="49"/>
        <v>1.2</v>
      </c>
      <c r="M832" s="56" t="str">
        <f t="shared" si="50"/>
        <v/>
      </c>
      <c r="N832" s="56" t="str">
        <f t="shared" si="51"/>
        <v>OK</v>
      </c>
      <c r="O832" s="2"/>
      <c r="P832" s="27"/>
      <c r="Q832" s="2"/>
      <c r="R832" s="2"/>
    </row>
    <row r="833" spans="1:18" x14ac:dyDescent="0.35">
      <c r="A833" s="53">
        <v>877</v>
      </c>
      <c r="B833" s="53" t="s">
        <v>14</v>
      </c>
      <c r="C833" s="53" t="s">
        <v>32</v>
      </c>
      <c r="D833" s="53" t="s">
        <v>19</v>
      </c>
      <c r="E833" s="53" t="s">
        <v>29</v>
      </c>
      <c r="F833" s="54">
        <v>47493.45</v>
      </c>
      <c r="G833" s="53">
        <v>475525</v>
      </c>
      <c r="H833" s="53">
        <v>12242</v>
      </c>
      <c r="I833" s="53">
        <v>1724</v>
      </c>
      <c r="J833" s="54">
        <v>104485.59</v>
      </c>
      <c r="K833" s="55">
        <f t="shared" si="48"/>
        <v>1.2</v>
      </c>
      <c r="L833" s="56">
        <f t="shared" si="49"/>
        <v>1.2</v>
      </c>
      <c r="M833" s="56" t="str">
        <f t="shared" si="50"/>
        <v/>
      </c>
      <c r="N833" s="56" t="str">
        <f t="shared" si="51"/>
        <v>OK</v>
      </c>
      <c r="O833" s="2"/>
      <c r="P833" s="27"/>
      <c r="Q833" s="2"/>
      <c r="R833" s="2"/>
    </row>
    <row r="834" spans="1:18" x14ac:dyDescent="0.35">
      <c r="A834" s="53">
        <v>53</v>
      </c>
      <c r="B834" s="53" t="s">
        <v>9</v>
      </c>
      <c r="C834" s="53" t="s">
        <v>31</v>
      </c>
      <c r="D834" s="53" t="s">
        <v>17</v>
      </c>
      <c r="E834" s="53" t="s">
        <v>25</v>
      </c>
      <c r="F834" s="54">
        <v>16682.93</v>
      </c>
      <c r="G834" s="53">
        <v>824914</v>
      </c>
      <c r="H834" s="53">
        <v>19065</v>
      </c>
      <c r="I834" s="53">
        <v>718</v>
      </c>
      <c r="J834" s="54">
        <v>36702.446000000004</v>
      </c>
      <c r="K834" s="55">
        <f t="shared" ref="K834:K897" si="52">(J834-F834)/F834</f>
        <v>1.2000000000000002</v>
      </c>
      <c r="L834" s="56" t="str">
        <f t="shared" ref="L834:L897" si="53">IF(C834="Digital",K834,"")</f>
        <v/>
      </c>
      <c r="M834" s="56">
        <f t="shared" ref="M834:M897" si="54">IF(C834="Traditional",K834,"")</f>
        <v>1.2000000000000002</v>
      </c>
      <c r="N834" s="56" t="str">
        <f t="shared" ref="N834:N897" si="55">IF(H834&gt;G834,"ERROR: Clicks &gt; Impressions",IF(I834&gt;H834,"ERROR: Conversions &gt; Clicks","OK"))</f>
        <v>OK</v>
      </c>
      <c r="O834" s="2"/>
      <c r="P834" s="27"/>
      <c r="Q834" s="2"/>
      <c r="R834" s="2"/>
    </row>
    <row r="835" spans="1:18" x14ac:dyDescent="0.35">
      <c r="A835" s="57">
        <v>588</v>
      </c>
      <c r="B835" s="57" t="s">
        <v>9</v>
      </c>
      <c r="C835" s="57" t="s">
        <v>31</v>
      </c>
      <c r="D835" s="57" t="s">
        <v>20</v>
      </c>
      <c r="E835" s="57" t="s">
        <v>29</v>
      </c>
      <c r="F835" s="58">
        <v>26344.73</v>
      </c>
      <c r="G835" s="57">
        <v>916161</v>
      </c>
      <c r="H835" s="57">
        <v>18512</v>
      </c>
      <c r="I835" s="57">
        <v>694</v>
      </c>
      <c r="J835" s="58">
        <v>57958.406000000003</v>
      </c>
      <c r="K835" s="55">
        <f t="shared" si="52"/>
        <v>1.2000000000000002</v>
      </c>
      <c r="L835" s="56" t="str">
        <f t="shared" si="53"/>
        <v/>
      </c>
      <c r="M835" s="56">
        <f t="shared" si="54"/>
        <v>1.2000000000000002</v>
      </c>
      <c r="N835" s="56" t="str">
        <f t="shared" si="55"/>
        <v>OK</v>
      </c>
      <c r="O835" s="2"/>
      <c r="P835" s="27"/>
      <c r="Q835" s="2"/>
      <c r="R835" s="2"/>
    </row>
    <row r="836" spans="1:18" x14ac:dyDescent="0.35">
      <c r="A836" s="53">
        <v>909</v>
      </c>
      <c r="B836" s="53" t="s">
        <v>8</v>
      </c>
      <c r="C836" s="53" t="s">
        <v>31</v>
      </c>
      <c r="D836" s="53" t="s">
        <v>20</v>
      </c>
      <c r="E836" s="53" t="s">
        <v>29</v>
      </c>
      <c r="F836" s="54">
        <v>34103.42</v>
      </c>
      <c r="G836" s="53">
        <v>545352</v>
      </c>
      <c r="H836" s="53">
        <v>397</v>
      </c>
      <c r="I836" s="53">
        <v>1416</v>
      </c>
      <c r="J836" s="54">
        <v>75027.524000000005</v>
      </c>
      <c r="K836" s="55">
        <f t="shared" si="52"/>
        <v>1.2000000000000002</v>
      </c>
      <c r="L836" s="56" t="str">
        <f t="shared" si="53"/>
        <v/>
      </c>
      <c r="M836" s="56">
        <f t="shared" si="54"/>
        <v>1.2000000000000002</v>
      </c>
      <c r="N836" s="56" t="str">
        <f t="shared" si="55"/>
        <v>ERROR: Conversions &gt; Clicks</v>
      </c>
      <c r="O836" s="2"/>
      <c r="P836" s="27"/>
      <c r="Q836" s="2"/>
      <c r="R836" s="2"/>
    </row>
    <row r="837" spans="1:18" x14ac:dyDescent="0.35">
      <c r="A837" s="57">
        <v>258</v>
      </c>
      <c r="B837" s="57" t="s">
        <v>10</v>
      </c>
      <c r="C837" s="57" t="s">
        <v>31</v>
      </c>
      <c r="D837" s="57" t="s">
        <v>19</v>
      </c>
      <c r="E837" s="57" t="s">
        <v>29</v>
      </c>
      <c r="F837" s="58">
        <v>43734.65</v>
      </c>
      <c r="G837" s="57">
        <v>43872</v>
      </c>
      <c r="H837" s="57">
        <v>10792</v>
      </c>
      <c r="I837" s="57">
        <v>386</v>
      </c>
      <c r="J837" s="58">
        <v>96653.576499999996</v>
      </c>
      <c r="K837" s="55">
        <f t="shared" si="52"/>
        <v>1.2099999999999997</v>
      </c>
      <c r="L837" s="56" t="str">
        <f t="shared" si="53"/>
        <v/>
      </c>
      <c r="M837" s="56">
        <f t="shared" si="54"/>
        <v>1.2099999999999997</v>
      </c>
      <c r="N837" s="56" t="str">
        <f t="shared" si="55"/>
        <v>OK</v>
      </c>
      <c r="O837" s="2"/>
      <c r="P837" s="27"/>
      <c r="Q837" s="2"/>
      <c r="R837" s="2"/>
    </row>
    <row r="838" spans="1:18" x14ac:dyDescent="0.35">
      <c r="A838" s="57">
        <v>154</v>
      </c>
      <c r="B838" s="57" t="s">
        <v>9</v>
      </c>
      <c r="C838" s="57" t="s">
        <v>31</v>
      </c>
      <c r="D838" s="57" t="s">
        <v>17</v>
      </c>
      <c r="E838" s="57" t="s">
        <v>28</v>
      </c>
      <c r="F838" s="58">
        <v>37259.33</v>
      </c>
      <c r="G838" s="57">
        <v>974572</v>
      </c>
      <c r="H838" s="57">
        <v>7082</v>
      </c>
      <c r="I838" s="57">
        <v>125</v>
      </c>
      <c r="J838" s="58">
        <v>82343.119300000006</v>
      </c>
      <c r="K838" s="55">
        <f t="shared" si="52"/>
        <v>1.21</v>
      </c>
      <c r="L838" s="56" t="str">
        <f t="shared" si="53"/>
        <v/>
      </c>
      <c r="M838" s="56">
        <f t="shared" si="54"/>
        <v>1.21</v>
      </c>
      <c r="N838" s="56" t="str">
        <f t="shared" si="55"/>
        <v>OK</v>
      </c>
      <c r="O838" s="2"/>
      <c r="P838" s="27"/>
      <c r="Q838" s="2"/>
      <c r="R838" s="2"/>
    </row>
    <row r="839" spans="1:18" x14ac:dyDescent="0.35">
      <c r="A839" s="53">
        <v>173</v>
      </c>
      <c r="B839" s="53" t="s">
        <v>9</v>
      </c>
      <c r="C839" s="53" t="s">
        <v>31</v>
      </c>
      <c r="D839" s="53" t="s">
        <v>17</v>
      </c>
      <c r="E839" s="53" t="s">
        <v>28</v>
      </c>
      <c r="F839" s="54">
        <v>46930.31</v>
      </c>
      <c r="G839" s="53">
        <v>59976</v>
      </c>
      <c r="H839" s="53">
        <v>2790</v>
      </c>
      <c r="I839" s="53">
        <v>322</v>
      </c>
      <c r="J839" s="54">
        <v>103715.98510000001</v>
      </c>
      <c r="K839" s="55">
        <f t="shared" si="52"/>
        <v>1.2100000000000002</v>
      </c>
      <c r="L839" s="56" t="str">
        <f t="shared" si="53"/>
        <v/>
      </c>
      <c r="M839" s="56">
        <f t="shared" si="54"/>
        <v>1.2100000000000002</v>
      </c>
      <c r="N839" s="56" t="str">
        <f t="shared" si="55"/>
        <v>OK</v>
      </c>
      <c r="O839" s="2"/>
      <c r="P839" s="27"/>
      <c r="Q839" s="2"/>
      <c r="R839" s="2"/>
    </row>
    <row r="840" spans="1:18" x14ac:dyDescent="0.35">
      <c r="A840" s="57">
        <v>334</v>
      </c>
      <c r="B840" s="57" t="s">
        <v>9</v>
      </c>
      <c r="C840" s="57" t="s">
        <v>31</v>
      </c>
      <c r="D840" s="57" t="s">
        <v>19</v>
      </c>
      <c r="E840" s="57" t="s">
        <v>26</v>
      </c>
      <c r="F840" s="58">
        <v>49415.21</v>
      </c>
      <c r="G840" s="57">
        <v>403605</v>
      </c>
      <c r="H840" s="57">
        <v>6955</v>
      </c>
      <c r="I840" s="57">
        <v>779</v>
      </c>
      <c r="J840" s="58">
        <v>109207.61410000001</v>
      </c>
      <c r="K840" s="55">
        <f t="shared" si="52"/>
        <v>1.2100000000000002</v>
      </c>
      <c r="L840" s="56" t="str">
        <f t="shared" si="53"/>
        <v/>
      </c>
      <c r="M840" s="56">
        <f t="shared" si="54"/>
        <v>1.2100000000000002</v>
      </c>
      <c r="N840" s="56" t="str">
        <f t="shared" si="55"/>
        <v>OK</v>
      </c>
      <c r="O840" s="2"/>
      <c r="P840" s="27"/>
      <c r="Q840" s="2"/>
      <c r="R840" s="2"/>
    </row>
    <row r="841" spans="1:18" x14ac:dyDescent="0.35">
      <c r="A841" s="57">
        <v>410</v>
      </c>
      <c r="B841" s="57" t="s">
        <v>10</v>
      </c>
      <c r="C841" s="57" t="s">
        <v>31</v>
      </c>
      <c r="D841" s="57" t="s">
        <v>21</v>
      </c>
      <c r="E841" s="57" t="s">
        <v>24</v>
      </c>
      <c r="F841" s="58">
        <v>11703.72</v>
      </c>
      <c r="G841" s="57">
        <v>389270</v>
      </c>
      <c r="H841" s="57">
        <v>19556</v>
      </c>
      <c r="I841" s="57">
        <v>44</v>
      </c>
      <c r="J841" s="58">
        <v>25865.2212</v>
      </c>
      <c r="K841" s="55">
        <f t="shared" si="52"/>
        <v>1.2100000000000002</v>
      </c>
      <c r="L841" s="56" t="str">
        <f t="shared" si="53"/>
        <v/>
      </c>
      <c r="M841" s="56">
        <f t="shared" si="54"/>
        <v>1.2100000000000002</v>
      </c>
      <c r="N841" s="56" t="str">
        <f t="shared" si="55"/>
        <v>OK</v>
      </c>
      <c r="O841" s="2"/>
      <c r="P841" s="27"/>
      <c r="Q841" s="2"/>
      <c r="R841" s="2"/>
    </row>
    <row r="842" spans="1:18" x14ac:dyDescent="0.35">
      <c r="A842" s="53">
        <v>267</v>
      </c>
      <c r="B842" s="53" t="s">
        <v>12</v>
      </c>
      <c r="C842" s="53" t="s">
        <v>32</v>
      </c>
      <c r="D842" s="53" t="s">
        <v>17</v>
      </c>
      <c r="E842" s="53" t="s">
        <v>29</v>
      </c>
      <c r="F842" s="54">
        <v>47385.26</v>
      </c>
      <c r="G842" s="53">
        <v>208522</v>
      </c>
      <c r="H842" s="53">
        <v>5562</v>
      </c>
      <c r="I842" s="53">
        <v>1220</v>
      </c>
      <c r="J842" s="54">
        <v>105195.2772</v>
      </c>
      <c r="K842" s="55">
        <f t="shared" si="52"/>
        <v>1.2199999999999998</v>
      </c>
      <c r="L842" s="56">
        <f t="shared" si="53"/>
        <v>1.2199999999999998</v>
      </c>
      <c r="M842" s="56" t="str">
        <f t="shared" si="54"/>
        <v/>
      </c>
      <c r="N842" s="56" t="str">
        <f t="shared" si="55"/>
        <v>OK</v>
      </c>
      <c r="O842" s="2"/>
      <c r="P842" s="27"/>
      <c r="Q842" s="2"/>
      <c r="R842" s="2"/>
    </row>
    <row r="843" spans="1:18" x14ac:dyDescent="0.35">
      <c r="A843" s="57">
        <v>730</v>
      </c>
      <c r="B843" s="57" t="s">
        <v>12</v>
      </c>
      <c r="C843" s="57" t="s">
        <v>32</v>
      </c>
      <c r="D843" s="57" t="s">
        <v>17</v>
      </c>
      <c r="E843" s="57" t="s">
        <v>26</v>
      </c>
      <c r="F843" s="58">
        <v>41274.410000000003</v>
      </c>
      <c r="G843" s="57">
        <v>647938</v>
      </c>
      <c r="H843" s="57">
        <v>13101</v>
      </c>
      <c r="I843" s="57">
        <v>882</v>
      </c>
      <c r="J843" s="58">
        <v>91629.190199999997</v>
      </c>
      <c r="K843" s="55">
        <f t="shared" si="52"/>
        <v>1.2199999999999998</v>
      </c>
      <c r="L843" s="56">
        <f t="shared" si="53"/>
        <v>1.2199999999999998</v>
      </c>
      <c r="M843" s="56" t="str">
        <f t="shared" si="54"/>
        <v/>
      </c>
      <c r="N843" s="56" t="str">
        <f t="shared" si="55"/>
        <v>OK</v>
      </c>
      <c r="O843" s="2"/>
      <c r="P843" s="27"/>
      <c r="Q843" s="2"/>
      <c r="R843" s="2"/>
    </row>
    <row r="844" spans="1:18" x14ac:dyDescent="0.35">
      <c r="A844" s="53">
        <v>139</v>
      </c>
      <c r="B844" s="53" t="s">
        <v>8</v>
      </c>
      <c r="C844" s="53" t="s">
        <v>31</v>
      </c>
      <c r="D844" s="53" t="s">
        <v>18</v>
      </c>
      <c r="E844" s="53" t="s">
        <v>26</v>
      </c>
      <c r="F844" s="54">
        <v>37039.769999999997</v>
      </c>
      <c r="G844" s="53">
        <v>424170</v>
      </c>
      <c r="H844" s="53">
        <v>19445</v>
      </c>
      <c r="I844" s="53">
        <v>1972</v>
      </c>
      <c r="J844" s="54">
        <v>82228.289399999994</v>
      </c>
      <c r="K844" s="55">
        <f t="shared" si="52"/>
        <v>1.22</v>
      </c>
      <c r="L844" s="56" t="str">
        <f t="shared" si="53"/>
        <v/>
      </c>
      <c r="M844" s="56">
        <f t="shared" si="54"/>
        <v>1.22</v>
      </c>
      <c r="N844" s="56" t="str">
        <f t="shared" si="55"/>
        <v>OK</v>
      </c>
      <c r="O844" s="2"/>
      <c r="P844" s="27"/>
      <c r="Q844" s="2"/>
      <c r="R844" s="2"/>
    </row>
    <row r="845" spans="1:18" x14ac:dyDescent="0.35">
      <c r="A845" s="57">
        <v>342</v>
      </c>
      <c r="B845" s="57" t="s">
        <v>12</v>
      </c>
      <c r="C845" s="57" t="s">
        <v>32</v>
      </c>
      <c r="D845" s="57" t="s">
        <v>19</v>
      </c>
      <c r="E845" s="57" t="s">
        <v>27</v>
      </c>
      <c r="F845" s="58">
        <v>12972.66</v>
      </c>
      <c r="G845" s="57">
        <v>307675</v>
      </c>
      <c r="H845" s="57">
        <v>9118</v>
      </c>
      <c r="I845" s="57">
        <v>1168</v>
      </c>
      <c r="J845" s="58">
        <v>28799.305199999999</v>
      </c>
      <c r="K845" s="55">
        <f t="shared" si="52"/>
        <v>1.22</v>
      </c>
      <c r="L845" s="56">
        <f t="shared" si="53"/>
        <v>1.22</v>
      </c>
      <c r="M845" s="56" t="str">
        <f t="shared" si="54"/>
        <v/>
      </c>
      <c r="N845" s="56" t="str">
        <f t="shared" si="55"/>
        <v>OK</v>
      </c>
      <c r="O845" s="2"/>
      <c r="P845" s="27"/>
      <c r="Q845" s="2"/>
      <c r="R845" s="2"/>
    </row>
    <row r="846" spans="1:18" x14ac:dyDescent="0.35">
      <c r="A846" s="53">
        <v>389</v>
      </c>
      <c r="B846" s="53" t="s">
        <v>11</v>
      </c>
      <c r="C846" s="53" t="s">
        <v>32</v>
      </c>
      <c r="D846" s="53" t="s">
        <v>19</v>
      </c>
      <c r="E846" s="53" t="s">
        <v>26</v>
      </c>
      <c r="F846" s="54">
        <v>7313.59</v>
      </c>
      <c r="G846" s="53">
        <v>164692</v>
      </c>
      <c r="H846" s="53">
        <v>16981</v>
      </c>
      <c r="I846" s="53">
        <v>1486</v>
      </c>
      <c r="J846" s="54">
        <v>16236.1698</v>
      </c>
      <c r="K846" s="55">
        <f t="shared" si="52"/>
        <v>1.22</v>
      </c>
      <c r="L846" s="56">
        <f t="shared" si="53"/>
        <v>1.22</v>
      </c>
      <c r="M846" s="56" t="str">
        <f t="shared" si="54"/>
        <v/>
      </c>
      <c r="N846" s="56" t="str">
        <f t="shared" si="55"/>
        <v>OK</v>
      </c>
      <c r="O846" s="2"/>
      <c r="P846" s="27"/>
      <c r="Q846" s="2"/>
      <c r="R846" s="2"/>
    </row>
    <row r="847" spans="1:18" x14ac:dyDescent="0.35">
      <c r="A847" s="57">
        <v>592</v>
      </c>
      <c r="B847" s="57" t="s">
        <v>13</v>
      </c>
      <c r="C847" s="57" t="s">
        <v>32</v>
      </c>
      <c r="D847" s="57" t="s">
        <v>21</v>
      </c>
      <c r="E847" s="57" t="s">
        <v>26</v>
      </c>
      <c r="F847" s="58">
        <v>39794.29</v>
      </c>
      <c r="G847" s="57">
        <v>748464</v>
      </c>
      <c r="H847" s="57">
        <v>8948</v>
      </c>
      <c r="I847" s="57">
        <v>1472</v>
      </c>
      <c r="J847" s="58">
        <v>88741.266699999993</v>
      </c>
      <c r="K847" s="55">
        <f t="shared" si="52"/>
        <v>1.2299999999999998</v>
      </c>
      <c r="L847" s="56">
        <f t="shared" si="53"/>
        <v>1.2299999999999998</v>
      </c>
      <c r="M847" s="56" t="str">
        <f t="shared" si="54"/>
        <v/>
      </c>
      <c r="N847" s="56" t="str">
        <f t="shared" si="55"/>
        <v>OK</v>
      </c>
      <c r="O847" s="2"/>
      <c r="P847" s="27"/>
      <c r="Q847" s="2"/>
      <c r="R847" s="2"/>
    </row>
    <row r="848" spans="1:18" x14ac:dyDescent="0.35">
      <c r="A848" s="57">
        <v>322</v>
      </c>
      <c r="B848" s="57" t="s">
        <v>15</v>
      </c>
      <c r="C848" s="57" t="s">
        <v>32</v>
      </c>
      <c r="D848" s="57" t="s">
        <v>18</v>
      </c>
      <c r="E848" s="57" t="s">
        <v>24</v>
      </c>
      <c r="F848" s="58">
        <v>34656.19</v>
      </c>
      <c r="G848" s="57">
        <v>623079</v>
      </c>
      <c r="H848" s="57">
        <v>1795</v>
      </c>
      <c r="I848" s="57">
        <v>1456</v>
      </c>
      <c r="J848" s="58">
        <v>77283.303700000004</v>
      </c>
      <c r="K848" s="55">
        <f t="shared" si="52"/>
        <v>1.23</v>
      </c>
      <c r="L848" s="56">
        <f t="shared" si="53"/>
        <v>1.23</v>
      </c>
      <c r="M848" s="56" t="str">
        <f t="shared" si="54"/>
        <v/>
      </c>
      <c r="N848" s="56" t="str">
        <f t="shared" si="55"/>
        <v>OK</v>
      </c>
      <c r="O848" s="2"/>
      <c r="P848" s="27"/>
      <c r="Q848" s="2"/>
      <c r="R848" s="2"/>
    </row>
    <row r="849" spans="1:18" x14ac:dyDescent="0.35">
      <c r="A849" s="53">
        <v>495</v>
      </c>
      <c r="B849" s="53" t="s">
        <v>15</v>
      </c>
      <c r="C849" s="53" t="s">
        <v>32</v>
      </c>
      <c r="D849" s="53" t="s">
        <v>18</v>
      </c>
      <c r="E849" s="53" t="s">
        <v>28</v>
      </c>
      <c r="F849" s="54">
        <v>14613.28</v>
      </c>
      <c r="G849" s="53">
        <v>531658</v>
      </c>
      <c r="H849" s="53">
        <v>10803</v>
      </c>
      <c r="I849" s="53">
        <v>1001</v>
      </c>
      <c r="J849" s="54">
        <v>32587.614399999999</v>
      </c>
      <c r="K849" s="55">
        <f t="shared" si="52"/>
        <v>1.23</v>
      </c>
      <c r="L849" s="56">
        <f t="shared" si="53"/>
        <v>1.23</v>
      </c>
      <c r="M849" s="56" t="str">
        <f t="shared" si="54"/>
        <v/>
      </c>
      <c r="N849" s="56" t="str">
        <f t="shared" si="55"/>
        <v>OK</v>
      </c>
      <c r="O849" s="2"/>
      <c r="P849" s="27"/>
      <c r="Q849" s="2"/>
      <c r="R849" s="2"/>
    </row>
    <row r="850" spans="1:18" x14ac:dyDescent="0.35">
      <c r="A850" s="53">
        <v>115</v>
      </c>
      <c r="B850" s="53" t="s">
        <v>8</v>
      </c>
      <c r="C850" s="53" t="s">
        <v>31</v>
      </c>
      <c r="D850" s="53" t="s">
        <v>22</v>
      </c>
      <c r="E850" s="53" t="s">
        <v>25</v>
      </c>
      <c r="F850" s="54">
        <v>19996.009999999998</v>
      </c>
      <c r="G850" s="53">
        <v>638889</v>
      </c>
      <c r="H850" s="53">
        <v>8310</v>
      </c>
      <c r="I850" s="53">
        <v>751</v>
      </c>
      <c r="J850" s="54">
        <v>44591.102299999999</v>
      </c>
      <c r="K850" s="55">
        <f t="shared" si="52"/>
        <v>1.2300000000000002</v>
      </c>
      <c r="L850" s="56" t="str">
        <f t="shared" si="53"/>
        <v/>
      </c>
      <c r="M850" s="56">
        <f t="shared" si="54"/>
        <v>1.2300000000000002</v>
      </c>
      <c r="N850" s="56" t="str">
        <f t="shared" si="55"/>
        <v>OK</v>
      </c>
      <c r="O850" s="2"/>
      <c r="P850" s="27"/>
      <c r="Q850" s="2"/>
      <c r="R850" s="2"/>
    </row>
    <row r="851" spans="1:18" x14ac:dyDescent="0.35">
      <c r="A851" s="53">
        <v>973</v>
      </c>
      <c r="B851" s="53" t="s">
        <v>11</v>
      </c>
      <c r="C851" s="53" t="s">
        <v>32</v>
      </c>
      <c r="D851" s="53" t="s">
        <v>17</v>
      </c>
      <c r="E851" s="53" t="s">
        <v>26</v>
      </c>
      <c r="F851" s="54">
        <v>49754.09</v>
      </c>
      <c r="G851" s="53">
        <v>73972</v>
      </c>
      <c r="H851" s="53">
        <v>7248</v>
      </c>
      <c r="I851" s="53">
        <v>1465</v>
      </c>
      <c r="J851" s="54">
        <v>110951.6207</v>
      </c>
      <c r="K851" s="55">
        <f t="shared" si="52"/>
        <v>1.2300000000000002</v>
      </c>
      <c r="L851" s="56">
        <f t="shared" si="53"/>
        <v>1.2300000000000002</v>
      </c>
      <c r="M851" s="56" t="str">
        <f t="shared" si="54"/>
        <v/>
      </c>
      <c r="N851" s="56" t="str">
        <f t="shared" si="55"/>
        <v>OK</v>
      </c>
      <c r="O851" s="2"/>
      <c r="P851" s="27"/>
      <c r="Q851" s="2"/>
      <c r="R851" s="2"/>
    </row>
    <row r="852" spans="1:18" x14ac:dyDescent="0.35">
      <c r="A852" s="57">
        <v>42</v>
      </c>
      <c r="B852" s="57" t="s">
        <v>8</v>
      </c>
      <c r="C852" s="57" t="s">
        <v>31</v>
      </c>
      <c r="D852" s="57" t="s">
        <v>18</v>
      </c>
      <c r="E852" s="57" t="s">
        <v>26</v>
      </c>
      <c r="F852" s="58">
        <v>16529.2</v>
      </c>
      <c r="G852" s="57">
        <v>295960</v>
      </c>
      <c r="H852" s="57">
        <v>1330</v>
      </c>
      <c r="I852" s="57">
        <v>1958</v>
      </c>
      <c r="J852" s="58">
        <v>37025.408000000003</v>
      </c>
      <c r="K852" s="55">
        <f t="shared" si="52"/>
        <v>1.24</v>
      </c>
      <c r="L852" s="56" t="str">
        <f t="shared" si="53"/>
        <v/>
      </c>
      <c r="M852" s="56">
        <f t="shared" si="54"/>
        <v>1.24</v>
      </c>
      <c r="N852" s="56" t="str">
        <f t="shared" si="55"/>
        <v>ERROR: Conversions &gt; Clicks</v>
      </c>
      <c r="O852" s="2"/>
      <c r="P852" s="27"/>
      <c r="Q852" s="2"/>
      <c r="R852" s="2"/>
    </row>
    <row r="853" spans="1:18" x14ac:dyDescent="0.35">
      <c r="A853" s="53">
        <v>121</v>
      </c>
      <c r="B853" s="53" t="s">
        <v>13</v>
      </c>
      <c r="C853" s="53" t="s">
        <v>32</v>
      </c>
      <c r="D853" s="53" t="s">
        <v>19</v>
      </c>
      <c r="E853" s="53" t="s">
        <v>26</v>
      </c>
      <c r="F853" s="54">
        <v>12046.5</v>
      </c>
      <c r="G853" s="53">
        <v>709158</v>
      </c>
      <c r="H853" s="53">
        <v>15507</v>
      </c>
      <c r="I853" s="53">
        <v>1265</v>
      </c>
      <c r="J853" s="54">
        <v>26984.16</v>
      </c>
      <c r="K853" s="55">
        <f t="shared" si="52"/>
        <v>1.24</v>
      </c>
      <c r="L853" s="56">
        <f t="shared" si="53"/>
        <v>1.24</v>
      </c>
      <c r="M853" s="56" t="str">
        <f t="shared" si="54"/>
        <v/>
      </c>
      <c r="N853" s="56" t="str">
        <f t="shared" si="55"/>
        <v>OK</v>
      </c>
      <c r="O853" s="2"/>
      <c r="P853" s="27"/>
      <c r="Q853" s="2"/>
      <c r="R853" s="2"/>
    </row>
    <row r="854" spans="1:18" x14ac:dyDescent="0.35">
      <c r="A854" s="57">
        <v>224</v>
      </c>
      <c r="B854" s="57" t="s">
        <v>12</v>
      </c>
      <c r="C854" s="57" t="s">
        <v>32</v>
      </c>
      <c r="D854" s="57" t="s">
        <v>17</v>
      </c>
      <c r="E854" s="57" t="s">
        <v>24</v>
      </c>
      <c r="F854" s="58">
        <v>47404.76</v>
      </c>
      <c r="G854" s="57">
        <v>274852</v>
      </c>
      <c r="H854" s="57">
        <v>4070</v>
      </c>
      <c r="I854" s="57">
        <v>1339</v>
      </c>
      <c r="J854" s="58">
        <v>106186.6624</v>
      </c>
      <c r="K854" s="55">
        <f t="shared" si="52"/>
        <v>1.24</v>
      </c>
      <c r="L854" s="56">
        <f t="shared" si="53"/>
        <v>1.24</v>
      </c>
      <c r="M854" s="56" t="str">
        <f t="shared" si="54"/>
        <v/>
      </c>
      <c r="N854" s="56" t="str">
        <f t="shared" si="55"/>
        <v>OK</v>
      </c>
      <c r="O854" s="2"/>
      <c r="P854" s="27"/>
      <c r="Q854" s="2"/>
      <c r="R854" s="2"/>
    </row>
    <row r="855" spans="1:18" x14ac:dyDescent="0.35">
      <c r="A855" s="53">
        <v>407</v>
      </c>
      <c r="B855" s="53" t="s">
        <v>10</v>
      </c>
      <c r="C855" s="53" t="s">
        <v>31</v>
      </c>
      <c r="D855" s="53" t="s">
        <v>20</v>
      </c>
      <c r="E855" s="53" t="s">
        <v>27</v>
      </c>
      <c r="F855" s="54">
        <v>27101.119999999999</v>
      </c>
      <c r="G855" s="53">
        <v>580508</v>
      </c>
      <c r="H855" s="53">
        <v>1948</v>
      </c>
      <c r="I855" s="53">
        <v>357</v>
      </c>
      <c r="J855" s="54">
        <v>60706.508800000003</v>
      </c>
      <c r="K855" s="55">
        <f t="shared" si="52"/>
        <v>1.24</v>
      </c>
      <c r="L855" s="56" t="str">
        <f t="shared" si="53"/>
        <v/>
      </c>
      <c r="M855" s="56">
        <f t="shared" si="54"/>
        <v>1.24</v>
      </c>
      <c r="N855" s="56" t="str">
        <f t="shared" si="55"/>
        <v>OK</v>
      </c>
      <c r="O855" s="2"/>
      <c r="P855" s="27"/>
      <c r="Q855" s="2"/>
      <c r="R855" s="2"/>
    </row>
    <row r="856" spans="1:18" x14ac:dyDescent="0.35">
      <c r="A856" s="53">
        <v>439</v>
      </c>
      <c r="B856" s="53" t="s">
        <v>8</v>
      </c>
      <c r="C856" s="53" t="s">
        <v>31</v>
      </c>
      <c r="D856" s="53" t="s">
        <v>22</v>
      </c>
      <c r="E856" s="53" t="s">
        <v>25</v>
      </c>
      <c r="F856" s="54">
        <v>24930.36</v>
      </c>
      <c r="G856" s="53">
        <v>334264</v>
      </c>
      <c r="H856" s="53">
        <v>5931</v>
      </c>
      <c r="I856" s="53">
        <v>1026</v>
      </c>
      <c r="J856" s="54">
        <v>55844.006399999998</v>
      </c>
      <c r="K856" s="55">
        <f t="shared" si="52"/>
        <v>1.24</v>
      </c>
      <c r="L856" s="56" t="str">
        <f t="shared" si="53"/>
        <v/>
      </c>
      <c r="M856" s="56">
        <f t="shared" si="54"/>
        <v>1.24</v>
      </c>
      <c r="N856" s="56" t="str">
        <f t="shared" si="55"/>
        <v>OK</v>
      </c>
      <c r="O856" s="2"/>
      <c r="P856" s="27"/>
      <c r="Q856" s="2"/>
      <c r="R856" s="2"/>
    </row>
    <row r="857" spans="1:18" x14ac:dyDescent="0.35">
      <c r="A857" s="53">
        <v>475</v>
      </c>
      <c r="B857" s="53" t="s">
        <v>9</v>
      </c>
      <c r="C857" s="53" t="s">
        <v>31</v>
      </c>
      <c r="D857" s="53" t="s">
        <v>20</v>
      </c>
      <c r="E857" s="53" t="s">
        <v>29</v>
      </c>
      <c r="F857" s="54">
        <v>12703.98</v>
      </c>
      <c r="G857" s="53">
        <v>71842</v>
      </c>
      <c r="H857" s="53">
        <v>6613</v>
      </c>
      <c r="I857" s="53">
        <v>1058</v>
      </c>
      <c r="J857" s="54">
        <v>28456.915199999999</v>
      </c>
      <c r="K857" s="55">
        <f t="shared" si="52"/>
        <v>1.24</v>
      </c>
      <c r="L857" s="56" t="str">
        <f t="shared" si="53"/>
        <v/>
      </c>
      <c r="M857" s="56">
        <f t="shared" si="54"/>
        <v>1.24</v>
      </c>
      <c r="N857" s="56" t="str">
        <f t="shared" si="55"/>
        <v>OK</v>
      </c>
      <c r="O857" s="2"/>
      <c r="P857" s="27"/>
      <c r="Q857" s="2"/>
      <c r="R857" s="2"/>
    </row>
    <row r="858" spans="1:18" x14ac:dyDescent="0.35">
      <c r="A858" s="57">
        <v>490</v>
      </c>
      <c r="B858" s="57" t="s">
        <v>15</v>
      </c>
      <c r="C858" s="57" t="s">
        <v>32</v>
      </c>
      <c r="D858" s="57" t="s">
        <v>17</v>
      </c>
      <c r="E858" s="57" t="s">
        <v>29</v>
      </c>
      <c r="F858" s="58">
        <v>23679.75</v>
      </c>
      <c r="G858" s="57">
        <v>383216</v>
      </c>
      <c r="H858" s="57">
        <v>11373</v>
      </c>
      <c r="I858" s="57">
        <v>1188</v>
      </c>
      <c r="J858" s="58">
        <v>53042.64</v>
      </c>
      <c r="K858" s="55">
        <f t="shared" si="52"/>
        <v>1.24</v>
      </c>
      <c r="L858" s="56">
        <f t="shared" si="53"/>
        <v>1.24</v>
      </c>
      <c r="M858" s="56" t="str">
        <f t="shared" si="54"/>
        <v/>
      </c>
      <c r="N858" s="56" t="str">
        <f t="shared" si="55"/>
        <v>OK</v>
      </c>
      <c r="O858" s="2"/>
      <c r="P858" s="27"/>
      <c r="Q858" s="2"/>
      <c r="R858" s="2"/>
    </row>
    <row r="859" spans="1:18" x14ac:dyDescent="0.35">
      <c r="A859" s="57">
        <v>684</v>
      </c>
      <c r="B859" s="57" t="s">
        <v>12</v>
      </c>
      <c r="C859" s="57" t="s">
        <v>32</v>
      </c>
      <c r="D859" s="57" t="s">
        <v>17</v>
      </c>
      <c r="E859" s="57" t="s">
        <v>28</v>
      </c>
      <c r="F859" s="58">
        <v>30682.01</v>
      </c>
      <c r="G859" s="57">
        <v>780692</v>
      </c>
      <c r="H859" s="57">
        <v>10689</v>
      </c>
      <c r="I859" s="57">
        <v>1274</v>
      </c>
      <c r="J859" s="58">
        <v>68727.702399999995</v>
      </c>
      <c r="K859" s="55">
        <f t="shared" si="52"/>
        <v>1.24</v>
      </c>
      <c r="L859" s="56">
        <f t="shared" si="53"/>
        <v>1.24</v>
      </c>
      <c r="M859" s="56" t="str">
        <f t="shared" si="54"/>
        <v/>
      </c>
      <c r="N859" s="56" t="str">
        <f t="shared" si="55"/>
        <v>OK</v>
      </c>
      <c r="O859" s="2"/>
      <c r="P859" s="27"/>
      <c r="Q859" s="2"/>
      <c r="R859" s="2"/>
    </row>
    <row r="860" spans="1:18" x14ac:dyDescent="0.35">
      <c r="A860" s="53">
        <v>711</v>
      </c>
      <c r="B860" s="53" t="s">
        <v>8</v>
      </c>
      <c r="C860" s="53" t="s">
        <v>31</v>
      </c>
      <c r="D860" s="53" t="s">
        <v>18</v>
      </c>
      <c r="E860" s="53" t="s">
        <v>25</v>
      </c>
      <c r="F860" s="54">
        <v>26834.080000000002</v>
      </c>
      <c r="G860" s="53">
        <v>341607</v>
      </c>
      <c r="H860" s="53">
        <v>11188</v>
      </c>
      <c r="I860" s="53">
        <v>1674</v>
      </c>
      <c r="J860" s="54">
        <v>60108.339200000002</v>
      </c>
      <c r="K860" s="55">
        <f t="shared" si="52"/>
        <v>1.24</v>
      </c>
      <c r="L860" s="56" t="str">
        <f t="shared" si="53"/>
        <v/>
      </c>
      <c r="M860" s="56">
        <f t="shared" si="54"/>
        <v>1.24</v>
      </c>
      <c r="N860" s="56" t="str">
        <f t="shared" si="55"/>
        <v>OK</v>
      </c>
      <c r="O860" s="2"/>
      <c r="P860" s="27"/>
      <c r="Q860" s="2"/>
      <c r="R860" s="2"/>
    </row>
    <row r="861" spans="1:18" x14ac:dyDescent="0.35">
      <c r="A861" s="57">
        <v>754</v>
      </c>
      <c r="B861" s="57" t="s">
        <v>14</v>
      </c>
      <c r="C861" s="57" t="s">
        <v>32</v>
      </c>
      <c r="D861" s="57" t="s">
        <v>22</v>
      </c>
      <c r="E861" s="57" t="s">
        <v>24</v>
      </c>
      <c r="F861" s="58">
        <v>35795.39</v>
      </c>
      <c r="G861" s="57">
        <v>242076</v>
      </c>
      <c r="H861" s="57">
        <v>5678</v>
      </c>
      <c r="I861" s="57">
        <v>1421</v>
      </c>
      <c r="J861" s="58">
        <v>80181.673599999995</v>
      </c>
      <c r="K861" s="55">
        <f t="shared" si="52"/>
        <v>1.24</v>
      </c>
      <c r="L861" s="56">
        <f t="shared" si="53"/>
        <v>1.24</v>
      </c>
      <c r="M861" s="56" t="str">
        <f t="shared" si="54"/>
        <v/>
      </c>
      <c r="N861" s="56" t="str">
        <f t="shared" si="55"/>
        <v>OK</v>
      </c>
      <c r="O861" s="2"/>
      <c r="P861" s="27"/>
      <c r="Q861" s="2"/>
      <c r="R861" s="2"/>
    </row>
    <row r="862" spans="1:18" x14ac:dyDescent="0.35">
      <c r="A862" s="53">
        <v>33</v>
      </c>
      <c r="B862" s="53" t="s">
        <v>12</v>
      </c>
      <c r="C862" s="53" t="s">
        <v>32</v>
      </c>
      <c r="D862" s="53" t="s">
        <v>20</v>
      </c>
      <c r="E862" s="53" t="s">
        <v>24</v>
      </c>
      <c r="F862" s="54">
        <v>20043.990000000002</v>
      </c>
      <c r="G862" s="53">
        <v>877482</v>
      </c>
      <c r="H862" s="53">
        <v>15120</v>
      </c>
      <c r="I862" s="53">
        <v>1996</v>
      </c>
      <c r="J862" s="54">
        <v>45098.977500000001</v>
      </c>
      <c r="K862" s="55">
        <f t="shared" si="52"/>
        <v>1.2499999999999998</v>
      </c>
      <c r="L862" s="56">
        <f t="shared" si="53"/>
        <v>1.2499999999999998</v>
      </c>
      <c r="M862" s="56" t="str">
        <f t="shared" si="54"/>
        <v/>
      </c>
      <c r="N862" s="56" t="str">
        <f t="shared" si="55"/>
        <v>OK</v>
      </c>
      <c r="O862" s="2"/>
      <c r="P862" s="27"/>
      <c r="Q862" s="2"/>
      <c r="R862" s="2"/>
    </row>
    <row r="863" spans="1:18" x14ac:dyDescent="0.35">
      <c r="A863" s="53">
        <v>169</v>
      </c>
      <c r="B863" s="53" t="s">
        <v>8</v>
      </c>
      <c r="C863" s="53" t="s">
        <v>31</v>
      </c>
      <c r="D863" s="53" t="s">
        <v>20</v>
      </c>
      <c r="E863" s="53" t="s">
        <v>25</v>
      </c>
      <c r="F863" s="54">
        <v>19468.79</v>
      </c>
      <c r="G863" s="53">
        <v>788493</v>
      </c>
      <c r="H863" s="53">
        <v>1419</v>
      </c>
      <c r="I863" s="53">
        <v>1531</v>
      </c>
      <c r="J863" s="54">
        <v>43804.777499999997</v>
      </c>
      <c r="K863" s="55">
        <f t="shared" si="52"/>
        <v>1.2499999999999998</v>
      </c>
      <c r="L863" s="56" t="str">
        <f t="shared" si="53"/>
        <v/>
      </c>
      <c r="M863" s="56">
        <f t="shared" si="54"/>
        <v>1.2499999999999998</v>
      </c>
      <c r="N863" s="56" t="str">
        <f t="shared" si="55"/>
        <v>ERROR: Conversions &gt; Clicks</v>
      </c>
      <c r="O863" s="2"/>
      <c r="P863" s="27"/>
      <c r="Q863" s="2"/>
      <c r="R863" s="2"/>
    </row>
    <row r="864" spans="1:18" x14ac:dyDescent="0.35">
      <c r="A864" s="53">
        <v>215</v>
      </c>
      <c r="B864" s="53" t="s">
        <v>9</v>
      </c>
      <c r="C864" s="53" t="s">
        <v>31</v>
      </c>
      <c r="D864" s="53" t="s">
        <v>20</v>
      </c>
      <c r="E864" s="53" t="s">
        <v>27</v>
      </c>
      <c r="F864" s="54">
        <v>39597.94</v>
      </c>
      <c r="G864" s="53">
        <v>402573</v>
      </c>
      <c r="H864" s="53">
        <v>2511</v>
      </c>
      <c r="I864" s="53">
        <v>1755</v>
      </c>
      <c r="J864" s="54">
        <v>89095.365000000005</v>
      </c>
      <c r="K864" s="55">
        <f t="shared" si="52"/>
        <v>1.25</v>
      </c>
      <c r="L864" s="56" t="str">
        <f t="shared" si="53"/>
        <v/>
      </c>
      <c r="M864" s="56">
        <f t="shared" si="54"/>
        <v>1.25</v>
      </c>
      <c r="N864" s="56" t="str">
        <f t="shared" si="55"/>
        <v>OK</v>
      </c>
      <c r="O864" s="2"/>
      <c r="P864" s="27"/>
      <c r="Q864" s="2"/>
      <c r="R864" s="2"/>
    </row>
    <row r="865" spans="1:18" x14ac:dyDescent="0.35">
      <c r="A865" s="57">
        <v>314</v>
      </c>
      <c r="B865" s="57" t="s">
        <v>8</v>
      </c>
      <c r="C865" s="57" t="s">
        <v>31</v>
      </c>
      <c r="D865" s="57" t="s">
        <v>20</v>
      </c>
      <c r="E865" s="57" t="s">
        <v>29</v>
      </c>
      <c r="F865" s="58">
        <v>24782.59</v>
      </c>
      <c r="G865" s="57">
        <v>800605</v>
      </c>
      <c r="H865" s="57">
        <v>14623</v>
      </c>
      <c r="I865" s="57">
        <v>1794</v>
      </c>
      <c r="J865" s="58">
        <v>55760.827499999999</v>
      </c>
      <c r="K865" s="55">
        <f t="shared" si="52"/>
        <v>1.25</v>
      </c>
      <c r="L865" s="56" t="str">
        <f t="shared" si="53"/>
        <v/>
      </c>
      <c r="M865" s="56">
        <f t="shared" si="54"/>
        <v>1.25</v>
      </c>
      <c r="N865" s="56" t="str">
        <f t="shared" si="55"/>
        <v>OK</v>
      </c>
      <c r="O865" s="2"/>
      <c r="P865" s="27"/>
      <c r="Q865" s="2"/>
      <c r="R865" s="2"/>
    </row>
    <row r="866" spans="1:18" x14ac:dyDescent="0.35">
      <c r="A866" s="53">
        <v>329</v>
      </c>
      <c r="B866" s="53" t="s">
        <v>13</v>
      </c>
      <c r="C866" s="53" t="s">
        <v>32</v>
      </c>
      <c r="D866" s="53" t="s">
        <v>21</v>
      </c>
      <c r="E866" s="53" t="s">
        <v>25</v>
      </c>
      <c r="F866" s="54">
        <v>17505.18</v>
      </c>
      <c r="G866" s="53">
        <v>675938</v>
      </c>
      <c r="H866" s="53">
        <v>18150</v>
      </c>
      <c r="I866" s="53">
        <v>1194</v>
      </c>
      <c r="J866" s="54">
        <v>39386.654999999999</v>
      </c>
      <c r="K866" s="55">
        <f t="shared" si="52"/>
        <v>1.25</v>
      </c>
      <c r="L866" s="56">
        <f t="shared" si="53"/>
        <v>1.25</v>
      </c>
      <c r="M866" s="56" t="str">
        <f t="shared" si="54"/>
        <v/>
      </c>
      <c r="N866" s="56" t="str">
        <f t="shared" si="55"/>
        <v>OK</v>
      </c>
      <c r="O866" s="2"/>
      <c r="P866" s="27"/>
      <c r="Q866" s="2"/>
      <c r="R866" s="2"/>
    </row>
    <row r="867" spans="1:18" x14ac:dyDescent="0.35">
      <c r="A867" s="57">
        <v>392</v>
      </c>
      <c r="B867" s="57" t="s">
        <v>9</v>
      </c>
      <c r="C867" s="57" t="s">
        <v>31</v>
      </c>
      <c r="D867" s="57" t="s">
        <v>19</v>
      </c>
      <c r="E867" s="57" t="s">
        <v>24</v>
      </c>
      <c r="F867" s="58">
        <v>24474.43</v>
      </c>
      <c r="G867" s="57">
        <v>619312</v>
      </c>
      <c r="H867" s="57">
        <v>11701</v>
      </c>
      <c r="I867" s="57">
        <v>1587</v>
      </c>
      <c r="J867" s="58">
        <v>55067.467499999999</v>
      </c>
      <c r="K867" s="55">
        <f t="shared" si="52"/>
        <v>1.25</v>
      </c>
      <c r="L867" s="56" t="str">
        <f t="shared" si="53"/>
        <v/>
      </c>
      <c r="M867" s="56">
        <f t="shared" si="54"/>
        <v>1.25</v>
      </c>
      <c r="N867" s="56" t="str">
        <f t="shared" si="55"/>
        <v>OK</v>
      </c>
      <c r="O867" s="2"/>
      <c r="P867" s="27"/>
      <c r="Q867" s="2"/>
      <c r="R867" s="2"/>
    </row>
    <row r="868" spans="1:18" x14ac:dyDescent="0.35">
      <c r="A868" s="57">
        <v>464</v>
      </c>
      <c r="B868" s="57" t="s">
        <v>11</v>
      </c>
      <c r="C868" s="57" t="s">
        <v>32</v>
      </c>
      <c r="D868" s="57" t="s">
        <v>22</v>
      </c>
      <c r="E868" s="57" t="s">
        <v>25</v>
      </c>
      <c r="F868" s="58">
        <v>13871.11</v>
      </c>
      <c r="G868" s="57">
        <v>532154</v>
      </c>
      <c r="H868" s="57">
        <v>6326</v>
      </c>
      <c r="I868" s="57">
        <v>1527</v>
      </c>
      <c r="J868" s="58">
        <v>31209.997500000001</v>
      </c>
      <c r="K868" s="55">
        <f t="shared" si="52"/>
        <v>1.25</v>
      </c>
      <c r="L868" s="56">
        <f t="shared" si="53"/>
        <v>1.25</v>
      </c>
      <c r="M868" s="56" t="str">
        <f t="shared" si="54"/>
        <v/>
      </c>
      <c r="N868" s="56" t="str">
        <f t="shared" si="55"/>
        <v>OK</v>
      </c>
      <c r="O868" s="2"/>
      <c r="P868" s="27"/>
      <c r="Q868" s="2"/>
      <c r="R868" s="2"/>
    </row>
    <row r="869" spans="1:18" x14ac:dyDescent="0.35">
      <c r="A869" s="53">
        <v>533</v>
      </c>
      <c r="B869" s="53" t="s">
        <v>11</v>
      </c>
      <c r="C869" s="53" t="s">
        <v>32</v>
      </c>
      <c r="D869" s="53" t="s">
        <v>17</v>
      </c>
      <c r="E869" s="53" t="s">
        <v>26</v>
      </c>
      <c r="F869" s="54">
        <v>16732.97</v>
      </c>
      <c r="G869" s="53">
        <v>877564</v>
      </c>
      <c r="H869" s="53">
        <v>2087</v>
      </c>
      <c r="I869" s="53">
        <v>1180</v>
      </c>
      <c r="J869" s="54">
        <v>37649.182500000003</v>
      </c>
      <c r="K869" s="55">
        <f t="shared" si="52"/>
        <v>1.25</v>
      </c>
      <c r="L869" s="56">
        <f t="shared" si="53"/>
        <v>1.25</v>
      </c>
      <c r="M869" s="56" t="str">
        <f t="shared" si="54"/>
        <v/>
      </c>
      <c r="N869" s="56" t="str">
        <f t="shared" si="55"/>
        <v>OK</v>
      </c>
      <c r="O869" s="2"/>
      <c r="P869" s="27"/>
      <c r="Q869" s="2"/>
      <c r="R869" s="2"/>
    </row>
    <row r="870" spans="1:18" x14ac:dyDescent="0.35">
      <c r="A870" s="57">
        <v>692</v>
      </c>
      <c r="B870" s="57" t="s">
        <v>10</v>
      </c>
      <c r="C870" s="57" t="s">
        <v>31</v>
      </c>
      <c r="D870" s="57" t="s">
        <v>19</v>
      </c>
      <c r="E870" s="57" t="s">
        <v>25</v>
      </c>
      <c r="F870" s="58">
        <v>29978.93</v>
      </c>
      <c r="G870" s="57">
        <v>700796</v>
      </c>
      <c r="H870" s="57">
        <v>5837</v>
      </c>
      <c r="I870" s="57">
        <v>162</v>
      </c>
      <c r="J870" s="58">
        <v>67452.592499999999</v>
      </c>
      <c r="K870" s="55">
        <f t="shared" si="52"/>
        <v>1.25</v>
      </c>
      <c r="L870" s="56" t="str">
        <f t="shared" si="53"/>
        <v/>
      </c>
      <c r="M870" s="56">
        <f t="shared" si="54"/>
        <v>1.25</v>
      </c>
      <c r="N870" s="56" t="str">
        <f t="shared" si="55"/>
        <v>OK</v>
      </c>
      <c r="O870" s="2"/>
      <c r="P870" s="27"/>
      <c r="Q870" s="2"/>
      <c r="R870" s="2"/>
    </row>
    <row r="871" spans="1:18" x14ac:dyDescent="0.35">
      <c r="A871" s="53">
        <v>809</v>
      </c>
      <c r="B871" s="53" t="s">
        <v>10</v>
      </c>
      <c r="C871" s="53" t="s">
        <v>31</v>
      </c>
      <c r="D871" s="53" t="s">
        <v>19</v>
      </c>
      <c r="E871" s="53" t="s">
        <v>28</v>
      </c>
      <c r="F871" s="54">
        <v>43460.85</v>
      </c>
      <c r="G871" s="53">
        <v>110546</v>
      </c>
      <c r="H871" s="53">
        <v>15890</v>
      </c>
      <c r="I871" s="53">
        <v>1841</v>
      </c>
      <c r="J871" s="54">
        <v>97786.912500000006</v>
      </c>
      <c r="K871" s="55">
        <f t="shared" si="52"/>
        <v>1.2500000000000002</v>
      </c>
      <c r="L871" s="56" t="str">
        <f t="shared" si="53"/>
        <v/>
      </c>
      <c r="M871" s="56">
        <f t="shared" si="54"/>
        <v>1.2500000000000002</v>
      </c>
      <c r="N871" s="56" t="str">
        <f t="shared" si="55"/>
        <v>OK</v>
      </c>
      <c r="O871" s="2"/>
      <c r="P871" s="27"/>
      <c r="Q871" s="2"/>
      <c r="R871" s="2"/>
    </row>
    <row r="872" spans="1:18" x14ac:dyDescent="0.35">
      <c r="A872" s="53">
        <v>425</v>
      </c>
      <c r="B872" s="53" t="s">
        <v>13</v>
      </c>
      <c r="C872" s="53" t="s">
        <v>32</v>
      </c>
      <c r="D872" s="53" t="s">
        <v>20</v>
      </c>
      <c r="E872" s="53" t="s">
        <v>25</v>
      </c>
      <c r="F872" s="54">
        <v>17189.990000000002</v>
      </c>
      <c r="G872" s="53">
        <v>784504</v>
      </c>
      <c r="H872" s="53">
        <v>16161</v>
      </c>
      <c r="I872" s="53">
        <v>1724</v>
      </c>
      <c r="J872" s="54">
        <v>38849.377399999998</v>
      </c>
      <c r="K872" s="55">
        <f t="shared" si="52"/>
        <v>1.2599999999999996</v>
      </c>
      <c r="L872" s="56">
        <f t="shared" si="53"/>
        <v>1.2599999999999996</v>
      </c>
      <c r="M872" s="56" t="str">
        <f t="shared" si="54"/>
        <v/>
      </c>
      <c r="N872" s="56" t="str">
        <f t="shared" si="55"/>
        <v>OK</v>
      </c>
      <c r="O872" s="2"/>
      <c r="P872" s="27"/>
      <c r="Q872" s="2"/>
      <c r="R872" s="2"/>
    </row>
    <row r="873" spans="1:18" x14ac:dyDescent="0.35">
      <c r="A873" s="57">
        <v>94</v>
      </c>
      <c r="B873" s="57" t="s">
        <v>10</v>
      </c>
      <c r="C873" s="57" t="s">
        <v>31</v>
      </c>
      <c r="D873" s="57" t="s">
        <v>17</v>
      </c>
      <c r="E873" s="57" t="s">
        <v>27</v>
      </c>
      <c r="F873" s="58">
        <v>41801.339999999997</v>
      </c>
      <c r="G873" s="57">
        <v>467719</v>
      </c>
      <c r="H873" s="57">
        <v>16385</v>
      </c>
      <c r="I873" s="57">
        <v>449</v>
      </c>
      <c r="J873" s="58">
        <v>94471.028399999996</v>
      </c>
      <c r="K873" s="55">
        <f t="shared" si="52"/>
        <v>1.26</v>
      </c>
      <c r="L873" s="56" t="str">
        <f t="shared" si="53"/>
        <v/>
      </c>
      <c r="M873" s="56">
        <f t="shared" si="54"/>
        <v>1.26</v>
      </c>
      <c r="N873" s="56" t="str">
        <f t="shared" si="55"/>
        <v>OK</v>
      </c>
      <c r="O873" s="2"/>
      <c r="P873" s="27"/>
      <c r="Q873" s="2"/>
      <c r="R873" s="2"/>
    </row>
    <row r="874" spans="1:18" x14ac:dyDescent="0.35">
      <c r="A874" s="57">
        <v>310</v>
      </c>
      <c r="B874" s="57" t="s">
        <v>10</v>
      </c>
      <c r="C874" s="57" t="s">
        <v>31</v>
      </c>
      <c r="D874" s="57" t="s">
        <v>21</v>
      </c>
      <c r="E874" s="57" t="s">
        <v>25</v>
      </c>
      <c r="F874" s="58">
        <v>6764.56</v>
      </c>
      <c r="G874" s="57">
        <v>821050</v>
      </c>
      <c r="H874" s="57">
        <v>1352</v>
      </c>
      <c r="I874" s="57">
        <v>616</v>
      </c>
      <c r="J874" s="58">
        <v>15287.9056</v>
      </c>
      <c r="K874" s="55">
        <f t="shared" si="52"/>
        <v>1.26</v>
      </c>
      <c r="L874" s="56" t="str">
        <f t="shared" si="53"/>
        <v/>
      </c>
      <c r="M874" s="56">
        <f t="shared" si="54"/>
        <v>1.26</v>
      </c>
      <c r="N874" s="56" t="str">
        <f t="shared" si="55"/>
        <v>OK</v>
      </c>
      <c r="O874" s="2"/>
      <c r="P874" s="27"/>
      <c r="Q874" s="2"/>
      <c r="R874" s="2"/>
    </row>
    <row r="875" spans="1:18" x14ac:dyDescent="0.35">
      <c r="A875" s="57">
        <v>460</v>
      </c>
      <c r="B875" s="57" t="s">
        <v>9</v>
      </c>
      <c r="C875" s="57" t="s">
        <v>31</v>
      </c>
      <c r="D875" s="57" t="s">
        <v>18</v>
      </c>
      <c r="E875" s="57" t="s">
        <v>29</v>
      </c>
      <c r="F875" s="58">
        <v>7452.98</v>
      </c>
      <c r="G875" s="57">
        <v>86361</v>
      </c>
      <c r="H875" s="57">
        <v>3276</v>
      </c>
      <c r="I875" s="57">
        <v>1378</v>
      </c>
      <c r="J875" s="58">
        <v>16843.734799999998</v>
      </c>
      <c r="K875" s="55">
        <f t="shared" si="52"/>
        <v>1.26</v>
      </c>
      <c r="L875" s="56" t="str">
        <f t="shared" si="53"/>
        <v/>
      </c>
      <c r="M875" s="56">
        <f t="shared" si="54"/>
        <v>1.26</v>
      </c>
      <c r="N875" s="56" t="str">
        <f t="shared" si="55"/>
        <v>OK</v>
      </c>
      <c r="O875" s="2"/>
      <c r="P875" s="27"/>
      <c r="Q875" s="2"/>
      <c r="R875" s="2"/>
    </row>
    <row r="876" spans="1:18" x14ac:dyDescent="0.35">
      <c r="A876" s="53">
        <v>883</v>
      </c>
      <c r="B876" s="53" t="s">
        <v>9</v>
      </c>
      <c r="C876" s="53" t="s">
        <v>31</v>
      </c>
      <c r="D876" s="53" t="s">
        <v>21</v>
      </c>
      <c r="E876" s="53" t="s">
        <v>26</v>
      </c>
      <c r="F876" s="54">
        <v>36517.97</v>
      </c>
      <c r="G876" s="53">
        <v>190882</v>
      </c>
      <c r="H876" s="53">
        <v>4754</v>
      </c>
      <c r="I876" s="53">
        <v>604</v>
      </c>
      <c r="J876" s="54">
        <v>82530.612200000003</v>
      </c>
      <c r="K876" s="55">
        <f t="shared" si="52"/>
        <v>1.26</v>
      </c>
      <c r="L876" s="56" t="str">
        <f t="shared" si="53"/>
        <v/>
      </c>
      <c r="M876" s="56">
        <f t="shared" si="54"/>
        <v>1.26</v>
      </c>
      <c r="N876" s="56" t="str">
        <f t="shared" si="55"/>
        <v>OK</v>
      </c>
      <c r="O876" s="2"/>
      <c r="P876" s="27"/>
      <c r="Q876" s="2"/>
      <c r="R876" s="2"/>
    </row>
    <row r="877" spans="1:18" x14ac:dyDescent="0.35">
      <c r="A877" s="57">
        <v>910</v>
      </c>
      <c r="B877" s="57" t="s">
        <v>10</v>
      </c>
      <c r="C877" s="57" t="s">
        <v>31</v>
      </c>
      <c r="D877" s="57" t="s">
        <v>21</v>
      </c>
      <c r="E877" s="57" t="s">
        <v>28</v>
      </c>
      <c r="F877" s="58">
        <v>27801.200000000001</v>
      </c>
      <c r="G877" s="57">
        <v>86848</v>
      </c>
      <c r="H877" s="57">
        <v>13195</v>
      </c>
      <c r="I877" s="57">
        <v>1148</v>
      </c>
      <c r="J877" s="58">
        <v>62830.712</v>
      </c>
      <c r="K877" s="55">
        <f t="shared" si="52"/>
        <v>1.26</v>
      </c>
      <c r="L877" s="56" t="str">
        <f t="shared" si="53"/>
        <v/>
      </c>
      <c r="M877" s="56">
        <f t="shared" si="54"/>
        <v>1.26</v>
      </c>
      <c r="N877" s="56" t="str">
        <f t="shared" si="55"/>
        <v>OK</v>
      </c>
      <c r="O877" s="2"/>
      <c r="P877" s="27"/>
      <c r="Q877" s="2"/>
      <c r="R877" s="2"/>
    </row>
    <row r="878" spans="1:18" x14ac:dyDescent="0.35">
      <c r="A878" s="57">
        <v>380</v>
      </c>
      <c r="B878" s="57" t="s">
        <v>11</v>
      </c>
      <c r="C878" s="57" t="s">
        <v>32</v>
      </c>
      <c r="D878" s="57" t="s">
        <v>22</v>
      </c>
      <c r="E878" s="57" t="s">
        <v>29</v>
      </c>
      <c r="F878" s="58">
        <v>45043.519999999997</v>
      </c>
      <c r="G878" s="57">
        <v>102036</v>
      </c>
      <c r="H878" s="57">
        <v>18208</v>
      </c>
      <c r="I878" s="57">
        <v>229</v>
      </c>
      <c r="J878" s="58">
        <v>101798.35520000001</v>
      </c>
      <c r="K878" s="55">
        <f t="shared" si="52"/>
        <v>1.2600000000000002</v>
      </c>
      <c r="L878" s="56">
        <f t="shared" si="53"/>
        <v>1.2600000000000002</v>
      </c>
      <c r="M878" s="56" t="str">
        <f t="shared" si="54"/>
        <v/>
      </c>
      <c r="N878" s="56" t="str">
        <f t="shared" si="55"/>
        <v>OK</v>
      </c>
      <c r="O878" s="2"/>
      <c r="P878" s="27"/>
      <c r="Q878" s="2"/>
      <c r="R878" s="2"/>
    </row>
    <row r="879" spans="1:18" x14ac:dyDescent="0.35">
      <c r="A879" s="53">
        <v>567</v>
      </c>
      <c r="B879" s="53" t="s">
        <v>14</v>
      </c>
      <c r="C879" s="53" t="s">
        <v>32</v>
      </c>
      <c r="D879" s="53" t="s">
        <v>20</v>
      </c>
      <c r="E879" s="53" t="s">
        <v>27</v>
      </c>
      <c r="F879" s="54">
        <v>43225.38</v>
      </c>
      <c r="G879" s="53">
        <v>728316</v>
      </c>
      <c r="H879" s="53">
        <v>9023</v>
      </c>
      <c r="I879" s="53">
        <v>1159</v>
      </c>
      <c r="J879" s="54">
        <v>97689.358800000002</v>
      </c>
      <c r="K879" s="55">
        <f t="shared" si="52"/>
        <v>1.2600000000000002</v>
      </c>
      <c r="L879" s="56">
        <f t="shared" si="53"/>
        <v>1.2600000000000002</v>
      </c>
      <c r="M879" s="56" t="str">
        <f t="shared" si="54"/>
        <v/>
      </c>
      <c r="N879" s="56" t="str">
        <f t="shared" si="55"/>
        <v>OK</v>
      </c>
      <c r="O879" s="2"/>
      <c r="P879" s="27"/>
      <c r="Q879" s="2"/>
      <c r="R879" s="2"/>
    </row>
    <row r="880" spans="1:18" x14ac:dyDescent="0.35">
      <c r="A880" s="57">
        <v>782</v>
      </c>
      <c r="B880" s="57" t="s">
        <v>9</v>
      </c>
      <c r="C880" s="57" t="s">
        <v>31</v>
      </c>
      <c r="D880" s="57" t="s">
        <v>18</v>
      </c>
      <c r="E880" s="57" t="s">
        <v>24</v>
      </c>
      <c r="F880" s="58">
        <v>15208.54</v>
      </c>
      <c r="G880" s="57">
        <v>515838</v>
      </c>
      <c r="H880" s="57">
        <v>5022</v>
      </c>
      <c r="I880" s="57">
        <v>1399</v>
      </c>
      <c r="J880" s="58">
        <v>34523.385799999996</v>
      </c>
      <c r="K880" s="55">
        <f t="shared" si="52"/>
        <v>1.2699999999999996</v>
      </c>
      <c r="L880" s="56" t="str">
        <f t="shared" si="53"/>
        <v/>
      </c>
      <c r="M880" s="56">
        <f t="shared" si="54"/>
        <v>1.2699999999999996</v>
      </c>
      <c r="N880" s="56" t="str">
        <f t="shared" si="55"/>
        <v>OK</v>
      </c>
      <c r="O880" s="2"/>
      <c r="P880" s="27"/>
      <c r="Q880" s="2"/>
      <c r="R880" s="2"/>
    </row>
    <row r="881" spans="1:18" x14ac:dyDescent="0.35">
      <c r="A881" s="53">
        <v>7</v>
      </c>
      <c r="B881" s="53" t="s">
        <v>15</v>
      </c>
      <c r="C881" s="53" t="s">
        <v>32</v>
      </c>
      <c r="D881" s="53" t="s">
        <v>17</v>
      </c>
      <c r="E881" s="53" t="s">
        <v>24</v>
      </c>
      <c r="F881" s="54">
        <v>39341.760000000002</v>
      </c>
      <c r="G881" s="53">
        <v>628071</v>
      </c>
      <c r="H881" s="53">
        <v>6044</v>
      </c>
      <c r="I881" s="53">
        <v>1640</v>
      </c>
      <c r="J881" s="54">
        <v>89305.795199999993</v>
      </c>
      <c r="K881" s="55">
        <f t="shared" si="52"/>
        <v>1.2699999999999998</v>
      </c>
      <c r="L881" s="56">
        <f t="shared" si="53"/>
        <v>1.2699999999999998</v>
      </c>
      <c r="M881" s="56" t="str">
        <f t="shared" si="54"/>
        <v/>
      </c>
      <c r="N881" s="56" t="str">
        <f t="shared" si="55"/>
        <v>OK</v>
      </c>
      <c r="O881" s="2"/>
      <c r="P881" s="27"/>
      <c r="Q881" s="2"/>
      <c r="R881" s="2"/>
    </row>
    <row r="882" spans="1:18" x14ac:dyDescent="0.35">
      <c r="A882" s="57">
        <v>48</v>
      </c>
      <c r="B882" s="57" t="s">
        <v>8</v>
      </c>
      <c r="C882" s="57" t="s">
        <v>31</v>
      </c>
      <c r="D882" s="57" t="s">
        <v>18</v>
      </c>
      <c r="E882" s="57" t="s">
        <v>28</v>
      </c>
      <c r="F882" s="58">
        <v>48941.47</v>
      </c>
      <c r="G882" s="57">
        <v>208784</v>
      </c>
      <c r="H882" s="57">
        <v>303</v>
      </c>
      <c r="I882" s="57">
        <v>956</v>
      </c>
      <c r="J882" s="58">
        <v>111097.1369</v>
      </c>
      <c r="K882" s="55">
        <f t="shared" si="52"/>
        <v>1.2699999999999998</v>
      </c>
      <c r="L882" s="56" t="str">
        <f t="shared" si="53"/>
        <v/>
      </c>
      <c r="M882" s="56">
        <f t="shared" si="54"/>
        <v>1.2699999999999998</v>
      </c>
      <c r="N882" s="56" t="str">
        <f t="shared" si="55"/>
        <v>ERROR: Conversions &gt; Clicks</v>
      </c>
      <c r="O882" s="2"/>
      <c r="P882" s="27"/>
      <c r="Q882" s="2"/>
      <c r="R882" s="2"/>
    </row>
    <row r="883" spans="1:18" x14ac:dyDescent="0.35">
      <c r="A883" s="53">
        <v>805</v>
      </c>
      <c r="B883" s="53" t="s">
        <v>10</v>
      </c>
      <c r="C883" s="53" t="s">
        <v>31</v>
      </c>
      <c r="D883" s="53" t="s">
        <v>18</v>
      </c>
      <c r="E883" s="53" t="s">
        <v>24</v>
      </c>
      <c r="F883" s="54">
        <v>46613.48</v>
      </c>
      <c r="G883" s="53">
        <v>25534</v>
      </c>
      <c r="H883" s="53">
        <v>19679</v>
      </c>
      <c r="I883" s="53">
        <v>1857</v>
      </c>
      <c r="J883" s="54">
        <v>105812.5996</v>
      </c>
      <c r="K883" s="55">
        <f t="shared" si="52"/>
        <v>1.2699999999999998</v>
      </c>
      <c r="L883" s="56" t="str">
        <f t="shared" si="53"/>
        <v/>
      </c>
      <c r="M883" s="56">
        <f t="shared" si="54"/>
        <v>1.2699999999999998</v>
      </c>
      <c r="N883" s="56" t="str">
        <f t="shared" si="55"/>
        <v>OK</v>
      </c>
      <c r="O883" s="2"/>
      <c r="P883" s="27"/>
      <c r="Q883" s="2"/>
      <c r="R883" s="2"/>
    </row>
    <row r="884" spans="1:18" x14ac:dyDescent="0.35">
      <c r="A884" s="53">
        <v>3</v>
      </c>
      <c r="B884" s="53" t="s">
        <v>15</v>
      </c>
      <c r="C884" s="53" t="s">
        <v>32</v>
      </c>
      <c r="D884" s="53" t="s">
        <v>18</v>
      </c>
      <c r="E884" s="53" t="s">
        <v>29</v>
      </c>
      <c r="F884" s="54">
        <v>21790.55</v>
      </c>
      <c r="G884" s="53">
        <v>424758</v>
      </c>
      <c r="H884" s="53">
        <v>6510</v>
      </c>
      <c r="I884" s="53">
        <v>1830</v>
      </c>
      <c r="J884" s="54">
        <v>49464.548499999997</v>
      </c>
      <c r="K884" s="55">
        <f t="shared" si="52"/>
        <v>1.27</v>
      </c>
      <c r="L884" s="56">
        <f t="shared" si="53"/>
        <v>1.27</v>
      </c>
      <c r="M884" s="56" t="str">
        <f t="shared" si="54"/>
        <v/>
      </c>
      <c r="N884" s="56" t="str">
        <f t="shared" si="55"/>
        <v>OK</v>
      </c>
      <c r="O884" s="2"/>
      <c r="P884" s="27"/>
      <c r="Q884" s="2"/>
      <c r="R884" s="2"/>
    </row>
    <row r="885" spans="1:18" x14ac:dyDescent="0.35">
      <c r="A885" s="53">
        <v>129</v>
      </c>
      <c r="B885" s="53" t="s">
        <v>12</v>
      </c>
      <c r="C885" s="53" t="s">
        <v>32</v>
      </c>
      <c r="D885" s="53" t="s">
        <v>20</v>
      </c>
      <c r="E885" s="53" t="s">
        <v>29</v>
      </c>
      <c r="F885" s="54">
        <v>32188.04</v>
      </c>
      <c r="G885" s="53">
        <v>792215</v>
      </c>
      <c r="H885" s="53">
        <v>3362</v>
      </c>
      <c r="I885" s="53">
        <v>276</v>
      </c>
      <c r="J885" s="54">
        <v>73066.8508</v>
      </c>
      <c r="K885" s="55">
        <f t="shared" si="52"/>
        <v>1.27</v>
      </c>
      <c r="L885" s="56">
        <f t="shared" si="53"/>
        <v>1.27</v>
      </c>
      <c r="M885" s="56" t="str">
        <f t="shared" si="54"/>
        <v/>
      </c>
      <c r="N885" s="56" t="str">
        <f t="shared" si="55"/>
        <v>OK</v>
      </c>
      <c r="O885" s="2"/>
      <c r="P885" s="27"/>
      <c r="Q885" s="2"/>
      <c r="R885" s="2"/>
    </row>
    <row r="886" spans="1:18" x14ac:dyDescent="0.35">
      <c r="A886" s="57">
        <v>390</v>
      </c>
      <c r="B886" s="57" t="s">
        <v>11</v>
      </c>
      <c r="C886" s="57" t="s">
        <v>32</v>
      </c>
      <c r="D886" s="57" t="s">
        <v>17</v>
      </c>
      <c r="E886" s="57" t="s">
        <v>24</v>
      </c>
      <c r="F886" s="58">
        <v>21225.3</v>
      </c>
      <c r="G886" s="57">
        <v>273031</v>
      </c>
      <c r="H886" s="57">
        <v>1856</v>
      </c>
      <c r="I886" s="57">
        <v>736</v>
      </c>
      <c r="J886" s="58">
        <v>48181.430999999997</v>
      </c>
      <c r="K886" s="55">
        <f t="shared" si="52"/>
        <v>1.27</v>
      </c>
      <c r="L886" s="56">
        <f t="shared" si="53"/>
        <v>1.27</v>
      </c>
      <c r="M886" s="56" t="str">
        <f t="shared" si="54"/>
        <v/>
      </c>
      <c r="N886" s="56" t="str">
        <f t="shared" si="55"/>
        <v>OK</v>
      </c>
      <c r="O886" s="2"/>
      <c r="P886" s="27"/>
      <c r="Q886" s="2"/>
      <c r="R886" s="2"/>
    </row>
    <row r="887" spans="1:18" x14ac:dyDescent="0.35">
      <c r="A887" s="57">
        <v>550</v>
      </c>
      <c r="B887" s="57" t="s">
        <v>8</v>
      </c>
      <c r="C887" s="57" t="s">
        <v>31</v>
      </c>
      <c r="D887" s="57" t="s">
        <v>18</v>
      </c>
      <c r="E887" s="57" t="s">
        <v>26</v>
      </c>
      <c r="F887" s="58">
        <v>41180.620000000003</v>
      </c>
      <c r="G887" s="57">
        <v>796331</v>
      </c>
      <c r="H887" s="57">
        <v>14491</v>
      </c>
      <c r="I887" s="57">
        <v>1696</v>
      </c>
      <c r="J887" s="58">
        <v>93480.007400000002</v>
      </c>
      <c r="K887" s="55">
        <f t="shared" si="52"/>
        <v>1.27</v>
      </c>
      <c r="L887" s="56" t="str">
        <f t="shared" si="53"/>
        <v/>
      </c>
      <c r="M887" s="56">
        <f t="shared" si="54"/>
        <v>1.27</v>
      </c>
      <c r="N887" s="56" t="str">
        <f t="shared" si="55"/>
        <v>OK</v>
      </c>
      <c r="O887" s="2"/>
      <c r="P887" s="27"/>
      <c r="Q887" s="2"/>
      <c r="R887" s="2"/>
    </row>
    <row r="888" spans="1:18" x14ac:dyDescent="0.35">
      <c r="A888" s="57">
        <v>578</v>
      </c>
      <c r="B888" s="57" t="s">
        <v>10</v>
      </c>
      <c r="C888" s="57" t="s">
        <v>31</v>
      </c>
      <c r="D888" s="57" t="s">
        <v>21</v>
      </c>
      <c r="E888" s="57" t="s">
        <v>26</v>
      </c>
      <c r="F888" s="58">
        <v>2343.6</v>
      </c>
      <c r="G888" s="57">
        <v>376142</v>
      </c>
      <c r="H888" s="57">
        <v>18916</v>
      </c>
      <c r="I888" s="57">
        <v>1878</v>
      </c>
      <c r="J888" s="58">
        <v>5319.9719999999998</v>
      </c>
      <c r="K888" s="55">
        <f t="shared" si="52"/>
        <v>1.27</v>
      </c>
      <c r="L888" s="56" t="str">
        <f t="shared" si="53"/>
        <v/>
      </c>
      <c r="M888" s="56">
        <f t="shared" si="54"/>
        <v>1.27</v>
      </c>
      <c r="N888" s="56" t="str">
        <f t="shared" si="55"/>
        <v>OK</v>
      </c>
      <c r="O888" s="2"/>
      <c r="P888" s="27"/>
      <c r="Q888" s="2"/>
      <c r="R888" s="2"/>
    </row>
    <row r="889" spans="1:18" x14ac:dyDescent="0.35">
      <c r="A889" s="57">
        <v>676</v>
      </c>
      <c r="B889" s="57" t="s">
        <v>15</v>
      </c>
      <c r="C889" s="57" t="s">
        <v>32</v>
      </c>
      <c r="D889" s="57" t="s">
        <v>22</v>
      </c>
      <c r="E889" s="57" t="s">
        <v>27</v>
      </c>
      <c r="F889" s="58">
        <v>5589.95</v>
      </c>
      <c r="G889" s="57">
        <v>630273</v>
      </c>
      <c r="H889" s="57">
        <v>9773</v>
      </c>
      <c r="I889" s="57">
        <v>1536</v>
      </c>
      <c r="J889" s="58">
        <v>12689.1865</v>
      </c>
      <c r="K889" s="55">
        <f t="shared" si="52"/>
        <v>1.27</v>
      </c>
      <c r="L889" s="56">
        <f t="shared" si="53"/>
        <v>1.27</v>
      </c>
      <c r="M889" s="56" t="str">
        <f t="shared" si="54"/>
        <v/>
      </c>
      <c r="N889" s="56" t="str">
        <f t="shared" si="55"/>
        <v>OK</v>
      </c>
      <c r="O889" s="2"/>
      <c r="P889" s="27"/>
      <c r="Q889" s="2"/>
      <c r="R889" s="2"/>
    </row>
    <row r="890" spans="1:18" x14ac:dyDescent="0.35">
      <c r="A890" s="53">
        <v>91</v>
      </c>
      <c r="B890" s="53" t="s">
        <v>13</v>
      </c>
      <c r="C890" s="53" t="s">
        <v>32</v>
      </c>
      <c r="D890" s="53" t="s">
        <v>18</v>
      </c>
      <c r="E890" s="53" t="s">
        <v>25</v>
      </c>
      <c r="F890" s="54">
        <v>26683.8</v>
      </c>
      <c r="G890" s="53">
        <v>752800</v>
      </c>
      <c r="H890" s="53">
        <v>19448</v>
      </c>
      <c r="I890" s="53">
        <v>933</v>
      </c>
      <c r="J890" s="54">
        <v>60572.226000000002</v>
      </c>
      <c r="K890" s="55">
        <f t="shared" si="52"/>
        <v>1.2700000000000002</v>
      </c>
      <c r="L890" s="56">
        <f t="shared" si="53"/>
        <v>1.2700000000000002</v>
      </c>
      <c r="M890" s="56" t="str">
        <f t="shared" si="54"/>
        <v/>
      </c>
      <c r="N890" s="56" t="str">
        <f t="shared" si="55"/>
        <v>OK</v>
      </c>
      <c r="O890" s="2"/>
      <c r="P890" s="27"/>
      <c r="Q890" s="2"/>
      <c r="R890" s="2"/>
    </row>
    <row r="891" spans="1:18" x14ac:dyDescent="0.35">
      <c r="A891" s="57">
        <v>802</v>
      </c>
      <c r="B891" s="57" t="s">
        <v>10</v>
      </c>
      <c r="C891" s="57" t="s">
        <v>31</v>
      </c>
      <c r="D891" s="57" t="s">
        <v>20</v>
      </c>
      <c r="E891" s="57" t="s">
        <v>24</v>
      </c>
      <c r="F891" s="58">
        <v>17678.169999999998</v>
      </c>
      <c r="G891" s="57">
        <v>394583</v>
      </c>
      <c r="H891" s="57">
        <v>17453</v>
      </c>
      <c r="I891" s="57">
        <v>208</v>
      </c>
      <c r="J891" s="58">
        <v>40129.445899999999</v>
      </c>
      <c r="K891" s="55">
        <f t="shared" si="52"/>
        <v>1.2700000000000002</v>
      </c>
      <c r="L891" s="56" t="str">
        <f t="shared" si="53"/>
        <v/>
      </c>
      <c r="M891" s="56">
        <f t="shared" si="54"/>
        <v>1.2700000000000002</v>
      </c>
      <c r="N891" s="56" t="str">
        <f t="shared" si="55"/>
        <v>OK</v>
      </c>
      <c r="O891" s="2"/>
      <c r="P891" s="27"/>
      <c r="Q891" s="2"/>
      <c r="R891" s="2"/>
    </row>
    <row r="892" spans="1:18" x14ac:dyDescent="0.35">
      <c r="A892" s="57">
        <v>852</v>
      </c>
      <c r="B892" s="57" t="s">
        <v>14</v>
      </c>
      <c r="C892" s="57" t="s">
        <v>32</v>
      </c>
      <c r="D892" s="57" t="s">
        <v>20</v>
      </c>
      <c r="E892" s="57" t="s">
        <v>29</v>
      </c>
      <c r="F892" s="58">
        <v>32737.95</v>
      </c>
      <c r="G892" s="57">
        <v>657418</v>
      </c>
      <c r="H892" s="57">
        <v>1270</v>
      </c>
      <c r="I892" s="57">
        <v>1351</v>
      </c>
      <c r="J892" s="58">
        <v>74315.146500000003</v>
      </c>
      <c r="K892" s="55">
        <f t="shared" si="52"/>
        <v>1.2700000000000002</v>
      </c>
      <c r="L892" s="56">
        <f t="shared" si="53"/>
        <v>1.2700000000000002</v>
      </c>
      <c r="M892" s="56" t="str">
        <f t="shared" si="54"/>
        <v/>
      </c>
      <c r="N892" s="56" t="str">
        <f t="shared" si="55"/>
        <v>ERROR: Conversions &gt; Clicks</v>
      </c>
      <c r="O892" s="2"/>
      <c r="P892" s="27"/>
      <c r="Q892" s="2"/>
      <c r="R892" s="2"/>
    </row>
    <row r="893" spans="1:18" x14ac:dyDescent="0.35">
      <c r="A893" s="53">
        <v>27</v>
      </c>
      <c r="B893" s="53" t="s">
        <v>10</v>
      </c>
      <c r="C893" s="53" t="s">
        <v>31</v>
      </c>
      <c r="D893" s="53" t="s">
        <v>22</v>
      </c>
      <c r="E893" s="53" t="s">
        <v>26</v>
      </c>
      <c r="F893" s="54">
        <v>3143.05</v>
      </c>
      <c r="G893" s="53">
        <v>618577</v>
      </c>
      <c r="H893" s="53">
        <v>14497</v>
      </c>
      <c r="I893" s="53">
        <v>63</v>
      </c>
      <c r="J893" s="54">
        <v>7166.1540000000005</v>
      </c>
      <c r="K893" s="55">
        <f t="shared" si="52"/>
        <v>1.28</v>
      </c>
      <c r="L893" s="56" t="str">
        <f t="shared" si="53"/>
        <v/>
      </c>
      <c r="M893" s="56">
        <f t="shared" si="54"/>
        <v>1.28</v>
      </c>
      <c r="N893" s="56" t="str">
        <f t="shared" si="55"/>
        <v>OK</v>
      </c>
      <c r="O893" s="2"/>
      <c r="P893" s="27"/>
      <c r="Q893" s="2"/>
      <c r="R893" s="2"/>
    </row>
    <row r="894" spans="1:18" x14ac:dyDescent="0.35">
      <c r="A894" s="53">
        <v>657</v>
      </c>
      <c r="B894" s="53" t="s">
        <v>8</v>
      </c>
      <c r="C894" s="53" t="s">
        <v>31</v>
      </c>
      <c r="D894" s="53" t="s">
        <v>20</v>
      </c>
      <c r="E894" s="53" t="s">
        <v>24</v>
      </c>
      <c r="F894" s="54">
        <v>8251.2199999999993</v>
      </c>
      <c r="G894" s="53">
        <v>318362</v>
      </c>
      <c r="H894" s="53">
        <v>16323</v>
      </c>
      <c r="I894" s="53">
        <v>37</v>
      </c>
      <c r="J894" s="54">
        <v>18812.781599999998</v>
      </c>
      <c r="K894" s="55">
        <f t="shared" si="52"/>
        <v>1.28</v>
      </c>
      <c r="L894" s="56" t="str">
        <f t="shared" si="53"/>
        <v/>
      </c>
      <c r="M894" s="56">
        <f t="shared" si="54"/>
        <v>1.28</v>
      </c>
      <c r="N894" s="56" t="str">
        <f t="shared" si="55"/>
        <v>OK</v>
      </c>
      <c r="O894" s="2"/>
      <c r="P894" s="27"/>
      <c r="Q894" s="2"/>
      <c r="R894" s="2"/>
    </row>
    <row r="895" spans="1:18" x14ac:dyDescent="0.35">
      <c r="A895" s="53">
        <v>715</v>
      </c>
      <c r="B895" s="53" t="s">
        <v>13</v>
      </c>
      <c r="C895" s="53" t="s">
        <v>32</v>
      </c>
      <c r="D895" s="53" t="s">
        <v>20</v>
      </c>
      <c r="E895" s="53" t="s">
        <v>29</v>
      </c>
      <c r="F895" s="54">
        <v>17336.96</v>
      </c>
      <c r="G895" s="53">
        <v>775791</v>
      </c>
      <c r="H895" s="53">
        <v>17209</v>
      </c>
      <c r="I895" s="53">
        <v>939</v>
      </c>
      <c r="J895" s="54">
        <v>39528.268799999998</v>
      </c>
      <c r="K895" s="55">
        <f t="shared" si="52"/>
        <v>1.28</v>
      </c>
      <c r="L895" s="56">
        <f t="shared" si="53"/>
        <v>1.28</v>
      </c>
      <c r="M895" s="56" t="str">
        <f t="shared" si="54"/>
        <v/>
      </c>
      <c r="N895" s="56" t="str">
        <f t="shared" si="55"/>
        <v>OK</v>
      </c>
      <c r="O895" s="2"/>
      <c r="P895" s="27"/>
      <c r="Q895" s="2"/>
      <c r="R895" s="2"/>
    </row>
    <row r="896" spans="1:18" x14ac:dyDescent="0.35">
      <c r="A896" s="53">
        <v>957</v>
      </c>
      <c r="B896" s="53" t="s">
        <v>12</v>
      </c>
      <c r="C896" s="53" t="s">
        <v>32</v>
      </c>
      <c r="D896" s="53" t="s">
        <v>20</v>
      </c>
      <c r="E896" s="53" t="s">
        <v>24</v>
      </c>
      <c r="F896" s="54">
        <v>38293.33</v>
      </c>
      <c r="G896" s="53">
        <v>255144</v>
      </c>
      <c r="H896" s="53">
        <v>2876</v>
      </c>
      <c r="I896" s="53">
        <v>181</v>
      </c>
      <c r="J896" s="54">
        <v>87308.792400000006</v>
      </c>
      <c r="K896" s="55">
        <f t="shared" si="52"/>
        <v>1.28</v>
      </c>
      <c r="L896" s="56">
        <f t="shared" si="53"/>
        <v>1.28</v>
      </c>
      <c r="M896" s="56" t="str">
        <f t="shared" si="54"/>
        <v/>
      </c>
      <c r="N896" s="56" t="str">
        <f t="shared" si="55"/>
        <v>OK</v>
      </c>
      <c r="O896" s="2"/>
      <c r="P896" s="27"/>
      <c r="Q896" s="2"/>
      <c r="R896" s="2"/>
    </row>
    <row r="897" spans="1:18" x14ac:dyDescent="0.35">
      <c r="A897" s="57">
        <v>252</v>
      </c>
      <c r="B897" s="57" t="s">
        <v>11</v>
      </c>
      <c r="C897" s="57" t="s">
        <v>32</v>
      </c>
      <c r="D897" s="57" t="s">
        <v>18</v>
      </c>
      <c r="E897" s="57" t="s">
        <v>27</v>
      </c>
      <c r="F897" s="58">
        <v>6484.86</v>
      </c>
      <c r="G897" s="57">
        <v>959349</v>
      </c>
      <c r="H897" s="57">
        <v>15225</v>
      </c>
      <c r="I897" s="57">
        <v>765</v>
      </c>
      <c r="J897" s="58">
        <v>14785.480799999999</v>
      </c>
      <c r="K897" s="55">
        <f t="shared" si="52"/>
        <v>1.2800000000000002</v>
      </c>
      <c r="L897" s="56">
        <f t="shared" si="53"/>
        <v>1.2800000000000002</v>
      </c>
      <c r="M897" s="56" t="str">
        <f t="shared" si="54"/>
        <v/>
      </c>
      <c r="N897" s="56" t="str">
        <f t="shared" si="55"/>
        <v>OK</v>
      </c>
      <c r="O897" s="2"/>
      <c r="P897" s="27"/>
      <c r="Q897" s="2"/>
      <c r="R897" s="2"/>
    </row>
    <row r="898" spans="1:18" x14ac:dyDescent="0.35">
      <c r="A898" s="57">
        <v>434</v>
      </c>
      <c r="B898" s="57" t="s">
        <v>13</v>
      </c>
      <c r="C898" s="57" t="s">
        <v>32</v>
      </c>
      <c r="D898" s="57" t="s">
        <v>17</v>
      </c>
      <c r="E898" s="57" t="s">
        <v>29</v>
      </c>
      <c r="F898" s="58">
        <v>39668.879999999997</v>
      </c>
      <c r="G898" s="57">
        <v>944405</v>
      </c>
      <c r="H898" s="57">
        <v>12729</v>
      </c>
      <c r="I898" s="57">
        <v>1529</v>
      </c>
      <c r="J898" s="58">
        <v>90445.046400000007</v>
      </c>
      <c r="K898" s="55">
        <f t="shared" ref="K898:K961" si="56">(J898-F898)/F898</f>
        <v>1.2800000000000002</v>
      </c>
      <c r="L898" s="56">
        <f t="shared" ref="L898:L961" si="57">IF(C898="Digital",K898,"")</f>
        <v>1.2800000000000002</v>
      </c>
      <c r="M898" s="56" t="str">
        <f t="shared" ref="M898:M961" si="58">IF(C898="Traditional",K898,"")</f>
        <v/>
      </c>
      <c r="N898" s="56" t="str">
        <f t="shared" ref="N898:N961" si="59">IF(H898&gt;G898,"ERROR: Clicks &gt; Impressions",IF(I898&gt;H898,"ERROR: Conversions &gt; Clicks","OK"))</f>
        <v>OK</v>
      </c>
      <c r="O898" s="2"/>
      <c r="P898" s="27"/>
      <c r="Q898" s="2"/>
      <c r="R898" s="2"/>
    </row>
    <row r="899" spans="1:18" x14ac:dyDescent="0.35">
      <c r="A899" s="53">
        <v>783</v>
      </c>
      <c r="B899" s="53" t="s">
        <v>13</v>
      </c>
      <c r="C899" s="53" t="s">
        <v>32</v>
      </c>
      <c r="D899" s="53" t="s">
        <v>17</v>
      </c>
      <c r="E899" s="53" t="s">
        <v>25</v>
      </c>
      <c r="F899" s="54">
        <v>28601.16</v>
      </c>
      <c r="G899" s="53">
        <v>529163</v>
      </c>
      <c r="H899" s="53">
        <v>18814</v>
      </c>
      <c r="I899" s="53">
        <v>777</v>
      </c>
      <c r="J899" s="54">
        <v>65210.644800000002</v>
      </c>
      <c r="K899" s="55">
        <f t="shared" si="56"/>
        <v>1.2800000000000002</v>
      </c>
      <c r="L899" s="56">
        <f t="shared" si="57"/>
        <v>1.2800000000000002</v>
      </c>
      <c r="M899" s="56" t="str">
        <f t="shared" si="58"/>
        <v/>
      </c>
      <c r="N899" s="56" t="str">
        <f t="shared" si="59"/>
        <v>OK</v>
      </c>
      <c r="O899" s="2"/>
      <c r="P899" s="27"/>
      <c r="Q899" s="2"/>
      <c r="R899" s="2"/>
    </row>
    <row r="900" spans="1:18" x14ac:dyDescent="0.35">
      <c r="A900" s="53">
        <v>935</v>
      </c>
      <c r="B900" s="53" t="s">
        <v>13</v>
      </c>
      <c r="C900" s="53" t="s">
        <v>32</v>
      </c>
      <c r="D900" s="53" t="s">
        <v>18</v>
      </c>
      <c r="E900" s="53" t="s">
        <v>26</v>
      </c>
      <c r="F900" s="54">
        <v>42512.53</v>
      </c>
      <c r="G900" s="53">
        <v>427339</v>
      </c>
      <c r="H900" s="53">
        <v>17893</v>
      </c>
      <c r="I900" s="53">
        <v>1360</v>
      </c>
      <c r="J900" s="54">
        <v>96928.568400000004</v>
      </c>
      <c r="K900" s="55">
        <f t="shared" si="56"/>
        <v>1.2800000000000002</v>
      </c>
      <c r="L900" s="56">
        <f t="shared" si="57"/>
        <v>1.2800000000000002</v>
      </c>
      <c r="M900" s="56" t="str">
        <f t="shared" si="58"/>
        <v/>
      </c>
      <c r="N900" s="56" t="str">
        <f t="shared" si="59"/>
        <v>OK</v>
      </c>
      <c r="O900" s="2"/>
      <c r="P900" s="27"/>
      <c r="Q900" s="2"/>
      <c r="R900" s="2"/>
    </row>
    <row r="901" spans="1:18" x14ac:dyDescent="0.35">
      <c r="A901" s="57">
        <v>56</v>
      </c>
      <c r="B901" s="57" t="s">
        <v>12</v>
      </c>
      <c r="C901" s="57" t="s">
        <v>32</v>
      </c>
      <c r="D901" s="57" t="s">
        <v>17</v>
      </c>
      <c r="E901" s="57" t="s">
        <v>24</v>
      </c>
      <c r="F901" s="58">
        <v>27438.25</v>
      </c>
      <c r="G901" s="57">
        <v>502148</v>
      </c>
      <c r="H901" s="57">
        <v>16134</v>
      </c>
      <c r="I901" s="57">
        <v>1237</v>
      </c>
      <c r="J901" s="58">
        <v>62833.592499999999</v>
      </c>
      <c r="K901" s="55">
        <f t="shared" si="56"/>
        <v>1.29</v>
      </c>
      <c r="L901" s="56">
        <f t="shared" si="57"/>
        <v>1.29</v>
      </c>
      <c r="M901" s="56" t="str">
        <f t="shared" si="58"/>
        <v/>
      </c>
      <c r="N901" s="56" t="str">
        <f t="shared" si="59"/>
        <v>OK</v>
      </c>
      <c r="O901" s="2"/>
      <c r="P901" s="27"/>
      <c r="Q901" s="2"/>
      <c r="R901" s="2"/>
    </row>
    <row r="902" spans="1:18" x14ac:dyDescent="0.35">
      <c r="A902" s="53">
        <v>237</v>
      </c>
      <c r="B902" s="53" t="s">
        <v>10</v>
      </c>
      <c r="C902" s="53" t="s">
        <v>31</v>
      </c>
      <c r="D902" s="53" t="s">
        <v>19</v>
      </c>
      <c r="E902" s="53" t="s">
        <v>25</v>
      </c>
      <c r="F902" s="54">
        <v>39793.300000000003</v>
      </c>
      <c r="G902" s="53">
        <v>88077</v>
      </c>
      <c r="H902" s="53">
        <v>17520</v>
      </c>
      <c r="I902" s="53">
        <v>511</v>
      </c>
      <c r="J902" s="54">
        <v>91126.657000000007</v>
      </c>
      <c r="K902" s="55">
        <f t="shared" si="56"/>
        <v>1.29</v>
      </c>
      <c r="L902" s="56" t="str">
        <f t="shared" si="57"/>
        <v/>
      </c>
      <c r="M902" s="56">
        <f t="shared" si="58"/>
        <v>1.29</v>
      </c>
      <c r="N902" s="56" t="str">
        <f t="shared" si="59"/>
        <v>OK</v>
      </c>
      <c r="O902" s="2"/>
      <c r="P902" s="27"/>
      <c r="Q902" s="2"/>
      <c r="R902" s="2"/>
    </row>
    <row r="903" spans="1:18" x14ac:dyDescent="0.35">
      <c r="A903" s="57">
        <v>584</v>
      </c>
      <c r="B903" s="57" t="s">
        <v>14</v>
      </c>
      <c r="C903" s="57" t="s">
        <v>32</v>
      </c>
      <c r="D903" s="57" t="s">
        <v>21</v>
      </c>
      <c r="E903" s="57" t="s">
        <v>24</v>
      </c>
      <c r="F903" s="58">
        <v>3194.14</v>
      </c>
      <c r="G903" s="57">
        <v>162353</v>
      </c>
      <c r="H903" s="57">
        <v>9524</v>
      </c>
      <c r="I903" s="57">
        <v>537</v>
      </c>
      <c r="J903" s="58">
        <v>7314.5806000000002</v>
      </c>
      <c r="K903" s="55">
        <f t="shared" si="56"/>
        <v>1.29</v>
      </c>
      <c r="L903" s="56">
        <f t="shared" si="57"/>
        <v>1.29</v>
      </c>
      <c r="M903" s="56" t="str">
        <f t="shared" si="58"/>
        <v/>
      </c>
      <c r="N903" s="56" t="str">
        <f t="shared" si="59"/>
        <v>OK</v>
      </c>
      <c r="O903" s="2"/>
      <c r="P903" s="27"/>
      <c r="Q903" s="2"/>
      <c r="R903" s="2"/>
    </row>
    <row r="904" spans="1:18" x14ac:dyDescent="0.35">
      <c r="A904" s="57">
        <v>78</v>
      </c>
      <c r="B904" s="57" t="s">
        <v>12</v>
      </c>
      <c r="C904" s="57" t="s">
        <v>32</v>
      </c>
      <c r="D904" s="57" t="s">
        <v>22</v>
      </c>
      <c r="E904" s="57" t="s">
        <v>25</v>
      </c>
      <c r="F904" s="58">
        <v>37343.89</v>
      </c>
      <c r="G904" s="57">
        <v>811849</v>
      </c>
      <c r="H904" s="57">
        <v>8590</v>
      </c>
      <c r="I904" s="57">
        <v>886</v>
      </c>
      <c r="J904" s="58">
        <v>85517.508100000006</v>
      </c>
      <c r="K904" s="55">
        <f t="shared" si="56"/>
        <v>1.2900000000000003</v>
      </c>
      <c r="L904" s="56">
        <f t="shared" si="57"/>
        <v>1.2900000000000003</v>
      </c>
      <c r="M904" s="56" t="str">
        <f t="shared" si="58"/>
        <v/>
      </c>
      <c r="N904" s="56" t="str">
        <f t="shared" si="59"/>
        <v>OK</v>
      </c>
      <c r="O904" s="2"/>
      <c r="P904" s="27"/>
      <c r="Q904" s="2"/>
      <c r="R904" s="2"/>
    </row>
    <row r="905" spans="1:18" x14ac:dyDescent="0.35">
      <c r="A905" s="57">
        <v>146</v>
      </c>
      <c r="B905" s="57" t="s">
        <v>8</v>
      </c>
      <c r="C905" s="57" t="s">
        <v>31</v>
      </c>
      <c r="D905" s="57" t="s">
        <v>21</v>
      </c>
      <c r="E905" s="57" t="s">
        <v>25</v>
      </c>
      <c r="F905" s="58">
        <v>15672.73</v>
      </c>
      <c r="G905" s="57">
        <v>363646</v>
      </c>
      <c r="H905" s="57">
        <v>3514</v>
      </c>
      <c r="I905" s="57">
        <v>729</v>
      </c>
      <c r="J905" s="58">
        <v>35890.551700000004</v>
      </c>
      <c r="K905" s="55">
        <f t="shared" si="56"/>
        <v>1.2900000000000003</v>
      </c>
      <c r="L905" s="56" t="str">
        <f t="shared" si="57"/>
        <v/>
      </c>
      <c r="M905" s="56">
        <f t="shared" si="58"/>
        <v>1.2900000000000003</v>
      </c>
      <c r="N905" s="56" t="str">
        <f t="shared" si="59"/>
        <v>OK</v>
      </c>
      <c r="O905" s="2"/>
      <c r="P905" s="27"/>
      <c r="Q905" s="2"/>
      <c r="R905" s="2"/>
    </row>
    <row r="906" spans="1:18" x14ac:dyDescent="0.35">
      <c r="A906" s="53">
        <v>773</v>
      </c>
      <c r="B906" s="53" t="s">
        <v>11</v>
      </c>
      <c r="C906" s="53" t="s">
        <v>32</v>
      </c>
      <c r="D906" s="53" t="s">
        <v>17</v>
      </c>
      <c r="E906" s="53" t="s">
        <v>25</v>
      </c>
      <c r="F906" s="54">
        <v>43479.74</v>
      </c>
      <c r="G906" s="53">
        <v>260144</v>
      </c>
      <c r="H906" s="53">
        <v>13775</v>
      </c>
      <c r="I906" s="53">
        <v>1654</v>
      </c>
      <c r="J906" s="54">
        <v>99568.604600000006</v>
      </c>
      <c r="K906" s="55">
        <f t="shared" si="56"/>
        <v>1.2900000000000003</v>
      </c>
      <c r="L906" s="56">
        <f t="shared" si="57"/>
        <v>1.2900000000000003</v>
      </c>
      <c r="M906" s="56" t="str">
        <f t="shared" si="58"/>
        <v/>
      </c>
      <c r="N906" s="56" t="str">
        <f t="shared" si="59"/>
        <v>OK</v>
      </c>
      <c r="O906" s="2"/>
      <c r="P906" s="27"/>
      <c r="Q906" s="2"/>
      <c r="R906" s="2"/>
    </row>
    <row r="907" spans="1:18" x14ac:dyDescent="0.35">
      <c r="A907" s="57">
        <v>898</v>
      </c>
      <c r="B907" s="57" t="s">
        <v>12</v>
      </c>
      <c r="C907" s="57" t="s">
        <v>32</v>
      </c>
      <c r="D907" s="57" t="s">
        <v>17</v>
      </c>
      <c r="E907" s="57" t="s">
        <v>29</v>
      </c>
      <c r="F907" s="58">
        <v>22339.87</v>
      </c>
      <c r="G907" s="57">
        <v>349679</v>
      </c>
      <c r="H907" s="57">
        <v>18713</v>
      </c>
      <c r="I907" s="57">
        <v>224</v>
      </c>
      <c r="J907" s="58">
        <v>51158.302300000003</v>
      </c>
      <c r="K907" s="55">
        <f t="shared" si="56"/>
        <v>1.2900000000000003</v>
      </c>
      <c r="L907" s="56">
        <f t="shared" si="57"/>
        <v>1.2900000000000003</v>
      </c>
      <c r="M907" s="56" t="str">
        <f t="shared" si="58"/>
        <v/>
      </c>
      <c r="N907" s="56" t="str">
        <f t="shared" si="59"/>
        <v>OK</v>
      </c>
      <c r="O907" s="2"/>
      <c r="P907" s="27"/>
      <c r="Q907" s="2"/>
      <c r="R907" s="2"/>
    </row>
    <row r="908" spans="1:18" x14ac:dyDescent="0.35">
      <c r="A908" s="57">
        <v>430</v>
      </c>
      <c r="B908" s="57" t="s">
        <v>12</v>
      </c>
      <c r="C908" s="57" t="s">
        <v>32</v>
      </c>
      <c r="D908" s="57" t="s">
        <v>19</v>
      </c>
      <c r="E908" s="57" t="s">
        <v>24</v>
      </c>
      <c r="F908" s="58">
        <v>42069.46</v>
      </c>
      <c r="G908" s="57">
        <v>638380</v>
      </c>
      <c r="H908" s="57">
        <v>10040</v>
      </c>
      <c r="I908" s="57">
        <v>1888</v>
      </c>
      <c r="J908" s="58">
        <v>96759.758000000002</v>
      </c>
      <c r="K908" s="55">
        <f t="shared" si="56"/>
        <v>1.3</v>
      </c>
      <c r="L908" s="56">
        <f t="shared" si="57"/>
        <v>1.3</v>
      </c>
      <c r="M908" s="56" t="str">
        <f t="shared" si="58"/>
        <v/>
      </c>
      <c r="N908" s="56" t="str">
        <f t="shared" si="59"/>
        <v>OK</v>
      </c>
      <c r="O908" s="2"/>
      <c r="P908" s="27"/>
      <c r="Q908" s="2"/>
      <c r="R908" s="2"/>
    </row>
    <row r="909" spans="1:18" x14ac:dyDescent="0.35">
      <c r="A909" s="53">
        <v>679</v>
      </c>
      <c r="B909" s="53" t="s">
        <v>14</v>
      </c>
      <c r="C909" s="53" t="s">
        <v>32</v>
      </c>
      <c r="D909" s="53" t="s">
        <v>18</v>
      </c>
      <c r="E909" s="53" t="s">
        <v>27</v>
      </c>
      <c r="F909" s="54">
        <v>15819.93</v>
      </c>
      <c r="G909" s="53">
        <v>863605</v>
      </c>
      <c r="H909" s="53">
        <v>16906</v>
      </c>
      <c r="I909" s="53">
        <v>1258</v>
      </c>
      <c r="J909" s="54">
        <v>36385.839</v>
      </c>
      <c r="K909" s="55">
        <f t="shared" si="56"/>
        <v>1.3</v>
      </c>
      <c r="L909" s="56">
        <f t="shared" si="57"/>
        <v>1.3</v>
      </c>
      <c r="M909" s="56" t="str">
        <f t="shared" si="58"/>
        <v/>
      </c>
      <c r="N909" s="56" t="str">
        <f t="shared" si="59"/>
        <v>OK</v>
      </c>
      <c r="O909" s="2"/>
      <c r="P909" s="27"/>
      <c r="Q909" s="2"/>
      <c r="R909" s="2"/>
    </row>
    <row r="910" spans="1:18" x14ac:dyDescent="0.35">
      <c r="A910" s="53">
        <v>89</v>
      </c>
      <c r="B910" s="53" t="s">
        <v>12</v>
      </c>
      <c r="C910" s="53" t="s">
        <v>32</v>
      </c>
      <c r="D910" s="53" t="s">
        <v>22</v>
      </c>
      <c r="E910" s="53" t="s">
        <v>26</v>
      </c>
      <c r="F910" s="54">
        <v>19387.740000000002</v>
      </c>
      <c r="G910" s="53">
        <v>568969</v>
      </c>
      <c r="H910" s="53">
        <v>13399</v>
      </c>
      <c r="I910" s="53">
        <v>308</v>
      </c>
      <c r="J910" s="54">
        <v>44785.679400000001</v>
      </c>
      <c r="K910" s="55">
        <f t="shared" si="56"/>
        <v>1.3099999999999998</v>
      </c>
      <c r="L910" s="56">
        <f t="shared" si="57"/>
        <v>1.3099999999999998</v>
      </c>
      <c r="M910" s="56" t="str">
        <f t="shared" si="58"/>
        <v/>
      </c>
      <c r="N910" s="56" t="str">
        <f t="shared" si="59"/>
        <v>OK</v>
      </c>
      <c r="O910" s="2"/>
      <c r="P910" s="27"/>
      <c r="Q910" s="2"/>
      <c r="R910" s="2"/>
    </row>
    <row r="911" spans="1:18" x14ac:dyDescent="0.35">
      <c r="A911" s="57">
        <v>242</v>
      </c>
      <c r="B911" s="57" t="s">
        <v>8</v>
      </c>
      <c r="C911" s="57" t="s">
        <v>31</v>
      </c>
      <c r="D911" s="57" t="s">
        <v>22</v>
      </c>
      <c r="E911" s="57" t="s">
        <v>24</v>
      </c>
      <c r="F911" s="58">
        <v>22002.9</v>
      </c>
      <c r="G911" s="57">
        <v>808729</v>
      </c>
      <c r="H911" s="57">
        <v>11449</v>
      </c>
      <c r="I911" s="57">
        <v>487</v>
      </c>
      <c r="J911" s="58">
        <v>50826.699000000001</v>
      </c>
      <c r="K911" s="55">
        <f t="shared" si="56"/>
        <v>1.3099999999999998</v>
      </c>
      <c r="L911" s="56" t="str">
        <f t="shared" si="57"/>
        <v/>
      </c>
      <c r="M911" s="56">
        <f t="shared" si="58"/>
        <v>1.3099999999999998</v>
      </c>
      <c r="N911" s="56" t="str">
        <f t="shared" si="59"/>
        <v>OK</v>
      </c>
      <c r="O911" s="2"/>
      <c r="P911" s="27"/>
      <c r="Q911" s="2"/>
      <c r="R911" s="2"/>
    </row>
    <row r="912" spans="1:18" x14ac:dyDescent="0.35">
      <c r="A912" s="57">
        <v>732</v>
      </c>
      <c r="B912" s="57" t="s">
        <v>11</v>
      </c>
      <c r="C912" s="57" t="s">
        <v>32</v>
      </c>
      <c r="D912" s="57" t="s">
        <v>20</v>
      </c>
      <c r="E912" s="57" t="s">
        <v>25</v>
      </c>
      <c r="F912" s="58">
        <v>44336.79</v>
      </c>
      <c r="G912" s="57">
        <v>880946</v>
      </c>
      <c r="H912" s="57">
        <v>16608</v>
      </c>
      <c r="I912" s="57">
        <v>1524</v>
      </c>
      <c r="J912" s="58">
        <v>102417.9849</v>
      </c>
      <c r="K912" s="55">
        <f t="shared" si="56"/>
        <v>1.3099999999999998</v>
      </c>
      <c r="L912" s="56">
        <f t="shared" si="57"/>
        <v>1.3099999999999998</v>
      </c>
      <c r="M912" s="56" t="str">
        <f t="shared" si="58"/>
        <v/>
      </c>
      <c r="N912" s="56" t="str">
        <f t="shared" si="59"/>
        <v>OK</v>
      </c>
      <c r="O912" s="2"/>
      <c r="P912" s="27"/>
      <c r="Q912" s="2"/>
      <c r="R912" s="2"/>
    </row>
    <row r="913" spans="1:18" x14ac:dyDescent="0.35">
      <c r="A913" s="53">
        <v>641</v>
      </c>
      <c r="B913" s="53" t="s">
        <v>10</v>
      </c>
      <c r="C913" s="53" t="s">
        <v>31</v>
      </c>
      <c r="D913" s="53" t="s">
        <v>18</v>
      </c>
      <c r="E913" s="53" t="s">
        <v>27</v>
      </c>
      <c r="F913" s="54">
        <v>12516.82</v>
      </c>
      <c r="G913" s="53">
        <v>605131</v>
      </c>
      <c r="H913" s="53">
        <v>4995</v>
      </c>
      <c r="I913" s="53">
        <v>1858</v>
      </c>
      <c r="J913" s="54">
        <v>28913.854200000002</v>
      </c>
      <c r="K913" s="55">
        <f t="shared" si="56"/>
        <v>1.3100000000000003</v>
      </c>
      <c r="L913" s="56" t="str">
        <f t="shared" si="57"/>
        <v/>
      </c>
      <c r="M913" s="56">
        <f t="shared" si="58"/>
        <v>1.3100000000000003</v>
      </c>
      <c r="N913" s="56" t="str">
        <f t="shared" si="59"/>
        <v>OK</v>
      </c>
      <c r="O913" s="2"/>
      <c r="P913" s="27"/>
      <c r="Q913" s="2"/>
      <c r="R913" s="2"/>
    </row>
    <row r="914" spans="1:18" x14ac:dyDescent="0.35">
      <c r="A914" s="53">
        <v>385</v>
      </c>
      <c r="B914" s="53" t="s">
        <v>15</v>
      </c>
      <c r="C914" s="53" t="s">
        <v>32</v>
      </c>
      <c r="D914" s="53" t="s">
        <v>22</v>
      </c>
      <c r="E914" s="53" t="s">
        <v>25</v>
      </c>
      <c r="F914" s="54">
        <v>20098.21</v>
      </c>
      <c r="G914" s="53">
        <v>291696</v>
      </c>
      <c r="H914" s="53">
        <v>9204</v>
      </c>
      <c r="I914" s="53">
        <v>963</v>
      </c>
      <c r="J914" s="54">
        <v>46627.847199999997</v>
      </c>
      <c r="K914" s="55">
        <f t="shared" si="56"/>
        <v>1.3199999999999998</v>
      </c>
      <c r="L914" s="56">
        <f t="shared" si="57"/>
        <v>1.3199999999999998</v>
      </c>
      <c r="M914" s="56" t="str">
        <f t="shared" si="58"/>
        <v/>
      </c>
      <c r="N914" s="56" t="str">
        <f t="shared" si="59"/>
        <v>OK</v>
      </c>
      <c r="O914" s="2"/>
      <c r="P914" s="27"/>
      <c r="Q914" s="2"/>
      <c r="R914" s="2"/>
    </row>
    <row r="915" spans="1:18" x14ac:dyDescent="0.35">
      <c r="A915" s="57">
        <v>32</v>
      </c>
      <c r="B915" s="57" t="s">
        <v>11</v>
      </c>
      <c r="C915" s="57" t="s">
        <v>32</v>
      </c>
      <c r="D915" s="57" t="s">
        <v>17</v>
      </c>
      <c r="E915" s="57" t="s">
        <v>25</v>
      </c>
      <c r="F915" s="58">
        <v>27954.51</v>
      </c>
      <c r="G915" s="57">
        <v>692773</v>
      </c>
      <c r="H915" s="57">
        <v>13540</v>
      </c>
      <c r="I915" s="57">
        <v>1591</v>
      </c>
      <c r="J915" s="58">
        <v>64854.463199999998</v>
      </c>
      <c r="K915" s="55">
        <f t="shared" si="56"/>
        <v>1.3200000000000003</v>
      </c>
      <c r="L915" s="56">
        <f t="shared" si="57"/>
        <v>1.3200000000000003</v>
      </c>
      <c r="M915" s="56" t="str">
        <f t="shared" si="58"/>
        <v/>
      </c>
      <c r="N915" s="56" t="str">
        <f t="shared" si="59"/>
        <v>OK</v>
      </c>
      <c r="O915" s="2"/>
      <c r="P915" s="27"/>
      <c r="Q915" s="2"/>
      <c r="R915" s="2"/>
    </row>
    <row r="916" spans="1:18" x14ac:dyDescent="0.35">
      <c r="A916" s="53">
        <v>695</v>
      </c>
      <c r="B916" s="53" t="s">
        <v>14</v>
      </c>
      <c r="C916" s="53" t="s">
        <v>32</v>
      </c>
      <c r="D916" s="53" t="s">
        <v>22</v>
      </c>
      <c r="E916" s="53" t="s">
        <v>25</v>
      </c>
      <c r="F916" s="54">
        <v>49810.02</v>
      </c>
      <c r="G916" s="53">
        <v>681314</v>
      </c>
      <c r="H916" s="53">
        <v>6109</v>
      </c>
      <c r="I916" s="53">
        <v>517</v>
      </c>
      <c r="J916" s="54">
        <v>115559.2464</v>
      </c>
      <c r="K916" s="55">
        <f t="shared" si="56"/>
        <v>1.3200000000000003</v>
      </c>
      <c r="L916" s="56">
        <f t="shared" si="57"/>
        <v>1.3200000000000003</v>
      </c>
      <c r="M916" s="56" t="str">
        <f t="shared" si="58"/>
        <v/>
      </c>
      <c r="N916" s="56" t="str">
        <f t="shared" si="59"/>
        <v>OK</v>
      </c>
      <c r="O916" s="2"/>
      <c r="P916" s="27"/>
      <c r="Q916" s="2"/>
      <c r="R916" s="2"/>
    </row>
    <row r="917" spans="1:18" x14ac:dyDescent="0.35">
      <c r="A917" s="57">
        <v>976</v>
      </c>
      <c r="B917" s="57" t="s">
        <v>14</v>
      </c>
      <c r="C917" s="57" t="s">
        <v>32</v>
      </c>
      <c r="D917" s="57" t="s">
        <v>21</v>
      </c>
      <c r="E917" s="57" t="s">
        <v>29</v>
      </c>
      <c r="F917" s="58">
        <v>33296.57</v>
      </c>
      <c r="G917" s="57">
        <v>444219</v>
      </c>
      <c r="H917" s="57">
        <v>6019</v>
      </c>
      <c r="I917" s="57">
        <v>233</v>
      </c>
      <c r="J917" s="58">
        <v>77248.042400000006</v>
      </c>
      <c r="K917" s="55">
        <f t="shared" si="56"/>
        <v>1.3200000000000003</v>
      </c>
      <c r="L917" s="56">
        <f t="shared" si="57"/>
        <v>1.3200000000000003</v>
      </c>
      <c r="M917" s="56" t="str">
        <f t="shared" si="58"/>
        <v/>
      </c>
      <c r="N917" s="56" t="str">
        <f t="shared" si="59"/>
        <v>OK</v>
      </c>
      <c r="O917" s="2"/>
      <c r="P917" s="27"/>
      <c r="Q917" s="2"/>
      <c r="R917" s="2"/>
    </row>
    <row r="918" spans="1:18" x14ac:dyDescent="0.35">
      <c r="A918" s="53">
        <v>361</v>
      </c>
      <c r="B918" s="53" t="s">
        <v>12</v>
      </c>
      <c r="C918" s="53" t="s">
        <v>32</v>
      </c>
      <c r="D918" s="53" t="s">
        <v>22</v>
      </c>
      <c r="E918" s="53" t="s">
        <v>24</v>
      </c>
      <c r="F918" s="54">
        <v>1187.04</v>
      </c>
      <c r="G918" s="53">
        <v>521181</v>
      </c>
      <c r="H918" s="53">
        <v>4068</v>
      </c>
      <c r="I918" s="53">
        <v>614</v>
      </c>
      <c r="J918" s="54">
        <v>2765.8031999999998</v>
      </c>
      <c r="K918" s="55">
        <f t="shared" si="56"/>
        <v>1.3299999999999998</v>
      </c>
      <c r="L918" s="56">
        <f t="shared" si="57"/>
        <v>1.3299999999999998</v>
      </c>
      <c r="M918" s="56" t="str">
        <f t="shared" si="58"/>
        <v/>
      </c>
      <c r="N918" s="56" t="str">
        <f t="shared" si="59"/>
        <v>OK</v>
      </c>
      <c r="O918" s="2"/>
      <c r="P918" s="27"/>
      <c r="Q918" s="2"/>
      <c r="R918" s="2"/>
    </row>
    <row r="919" spans="1:18" x14ac:dyDescent="0.35">
      <c r="A919" s="57">
        <v>874</v>
      </c>
      <c r="B919" s="57" t="s">
        <v>11</v>
      </c>
      <c r="C919" s="57" t="s">
        <v>32</v>
      </c>
      <c r="D919" s="57" t="s">
        <v>18</v>
      </c>
      <c r="E919" s="57" t="s">
        <v>26</v>
      </c>
      <c r="F919" s="58">
        <v>45642.37</v>
      </c>
      <c r="G919" s="57">
        <v>299192</v>
      </c>
      <c r="H919" s="57">
        <v>986</v>
      </c>
      <c r="I919" s="57">
        <v>120</v>
      </c>
      <c r="J919" s="58">
        <v>106346.7221</v>
      </c>
      <c r="K919" s="55">
        <f t="shared" si="56"/>
        <v>1.3299999999999998</v>
      </c>
      <c r="L919" s="56">
        <f t="shared" si="57"/>
        <v>1.3299999999999998</v>
      </c>
      <c r="M919" s="56" t="str">
        <f t="shared" si="58"/>
        <v/>
      </c>
      <c r="N919" s="56" t="str">
        <f t="shared" si="59"/>
        <v>OK</v>
      </c>
      <c r="O919" s="2"/>
      <c r="P919" s="27"/>
      <c r="Q919" s="2"/>
      <c r="R919" s="2"/>
    </row>
    <row r="920" spans="1:18" x14ac:dyDescent="0.35">
      <c r="A920" s="53">
        <v>841</v>
      </c>
      <c r="B920" s="53" t="s">
        <v>8</v>
      </c>
      <c r="C920" s="53" t="s">
        <v>31</v>
      </c>
      <c r="D920" s="53" t="s">
        <v>19</v>
      </c>
      <c r="E920" s="53" t="s">
        <v>24</v>
      </c>
      <c r="F920" s="54">
        <v>32086.78</v>
      </c>
      <c r="G920" s="53">
        <v>812242</v>
      </c>
      <c r="H920" s="53">
        <v>3221</v>
      </c>
      <c r="I920" s="53">
        <v>895</v>
      </c>
      <c r="J920" s="54">
        <v>74762.197400000005</v>
      </c>
      <c r="K920" s="55">
        <f t="shared" si="56"/>
        <v>1.3300000000000003</v>
      </c>
      <c r="L920" s="56" t="str">
        <f t="shared" si="57"/>
        <v/>
      </c>
      <c r="M920" s="56">
        <f t="shared" si="58"/>
        <v>1.3300000000000003</v>
      </c>
      <c r="N920" s="56" t="str">
        <f t="shared" si="59"/>
        <v>OK</v>
      </c>
      <c r="O920" s="2"/>
      <c r="P920" s="27"/>
      <c r="Q920" s="2"/>
      <c r="R920" s="2"/>
    </row>
    <row r="921" spans="1:18" x14ac:dyDescent="0.35">
      <c r="A921" s="53">
        <v>99</v>
      </c>
      <c r="B921" s="53" t="s">
        <v>10</v>
      </c>
      <c r="C921" s="53" t="s">
        <v>31</v>
      </c>
      <c r="D921" s="53" t="s">
        <v>22</v>
      </c>
      <c r="E921" s="53" t="s">
        <v>26</v>
      </c>
      <c r="F921" s="54">
        <v>38056.97</v>
      </c>
      <c r="G921" s="53">
        <v>350676</v>
      </c>
      <c r="H921" s="53">
        <v>265</v>
      </c>
      <c r="I921" s="53">
        <v>789</v>
      </c>
      <c r="J921" s="54">
        <v>89053.309800000003</v>
      </c>
      <c r="K921" s="55">
        <f t="shared" si="56"/>
        <v>1.34</v>
      </c>
      <c r="L921" s="56" t="str">
        <f t="shared" si="57"/>
        <v/>
      </c>
      <c r="M921" s="56">
        <f t="shared" si="58"/>
        <v>1.34</v>
      </c>
      <c r="N921" s="56" t="str">
        <f t="shared" si="59"/>
        <v>ERROR: Conversions &gt; Clicks</v>
      </c>
      <c r="O921" s="2"/>
      <c r="P921" s="27"/>
      <c r="Q921" s="2"/>
      <c r="R921" s="2"/>
    </row>
    <row r="922" spans="1:18" x14ac:dyDescent="0.35">
      <c r="A922" s="53">
        <v>457</v>
      </c>
      <c r="B922" s="53" t="s">
        <v>10</v>
      </c>
      <c r="C922" s="53" t="s">
        <v>31</v>
      </c>
      <c r="D922" s="53" t="s">
        <v>17</v>
      </c>
      <c r="E922" s="53" t="s">
        <v>28</v>
      </c>
      <c r="F922" s="54">
        <v>39651.31</v>
      </c>
      <c r="G922" s="53">
        <v>376081</v>
      </c>
      <c r="H922" s="53">
        <v>18589</v>
      </c>
      <c r="I922" s="53">
        <v>1402</v>
      </c>
      <c r="J922" s="54">
        <v>92784.065400000007</v>
      </c>
      <c r="K922" s="55">
        <f t="shared" si="56"/>
        <v>1.3400000000000003</v>
      </c>
      <c r="L922" s="56" t="str">
        <f t="shared" si="57"/>
        <v/>
      </c>
      <c r="M922" s="56">
        <f t="shared" si="58"/>
        <v>1.3400000000000003</v>
      </c>
      <c r="N922" s="56" t="str">
        <f t="shared" si="59"/>
        <v>OK</v>
      </c>
      <c r="O922" s="2"/>
      <c r="P922" s="27"/>
      <c r="Q922" s="2"/>
      <c r="R922" s="2"/>
    </row>
    <row r="923" spans="1:18" x14ac:dyDescent="0.35">
      <c r="A923" s="57">
        <v>12</v>
      </c>
      <c r="B923" s="57" t="s">
        <v>8</v>
      </c>
      <c r="C923" s="57" t="s">
        <v>31</v>
      </c>
      <c r="D923" s="57" t="s">
        <v>21</v>
      </c>
      <c r="E923" s="57" t="s">
        <v>24</v>
      </c>
      <c r="F923" s="58">
        <v>13515.26</v>
      </c>
      <c r="G923" s="57">
        <v>168763</v>
      </c>
      <c r="H923" s="57">
        <v>11073</v>
      </c>
      <c r="I923" s="57">
        <v>517</v>
      </c>
      <c r="J923" s="58">
        <v>31760.861000000001</v>
      </c>
      <c r="K923" s="55">
        <f t="shared" si="56"/>
        <v>1.35</v>
      </c>
      <c r="L923" s="56" t="str">
        <f t="shared" si="57"/>
        <v/>
      </c>
      <c r="M923" s="56">
        <f t="shared" si="58"/>
        <v>1.35</v>
      </c>
      <c r="N923" s="56" t="str">
        <f t="shared" si="59"/>
        <v>OK</v>
      </c>
      <c r="O923" s="2"/>
      <c r="P923" s="27"/>
      <c r="Q923" s="2"/>
      <c r="R923" s="2"/>
    </row>
    <row r="924" spans="1:18" x14ac:dyDescent="0.35">
      <c r="A924" s="57">
        <v>808</v>
      </c>
      <c r="B924" s="57" t="s">
        <v>11</v>
      </c>
      <c r="C924" s="57" t="s">
        <v>32</v>
      </c>
      <c r="D924" s="57" t="s">
        <v>19</v>
      </c>
      <c r="E924" s="57" t="s">
        <v>24</v>
      </c>
      <c r="F924" s="58">
        <v>28684.23</v>
      </c>
      <c r="G924" s="57">
        <v>583458</v>
      </c>
      <c r="H924" s="57">
        <v>12615</v>
      </c>
      <c r="I924" s="57">
        <v>1648</v>
      </c>
      <c r="J924" s="58">
        <v>67407.940499999997</v>
      </c>
      <c r="K924" s="55">
        <f t="shared" si="56"/>
        <v>1.35</v>
      </c>
      <c r="L924" s="56">
        <f t="shared" si="57"/>
        <v>1.35</v>
      </c>
      <c r="M924" s="56" t="str">
        <f t="shared" si="58"/>
        <v/>
      </c>
      <c r="N924" s="56" t="str">
        <f t="shared" si="59"/>
        <v>OK</v>
      </c>
      <c r="O924" s="2"/>
      <c r="P924" s="27"/>
      <c r="Q924" s="2"/>
      <c r="R924" s="2"/>
    </row>
    <row r="925" spans="1:18" x14ac:dyDescent="0.35">
      <c r="A925" s="57">
        <v>918</v>
      </c>
      <c r="B925" s="57" t="s">
        <v>12</v>
      </c>
      <c r="C925" s="57" t="s">
        <v>32</v>
      </c>
      <c r="D925" s="57" t="s">
        <v>19</v>
      </c>
      <c r="E925" s="57" t="s">
        <v>24</v>
      </c>
      <c r="F925" s="58">
        <v>46931.54</v>
      </c>
      <c r="G925" s="57">
        <v>452899</v>
      </c>
      <c r="H925" s="57">
        <v>7801</v>
      </c>
      <c r="I925" s="57">
        <v>87</v>
      </c>
      <c r="J925" s="58">
        <v>110289.11900000001</v>
      </c>
      <c r="K925" s="55">
        <f t="shared" si="56"/>
        <v>1.35</v>
      </c>
      <c r="L925" s="56">
        <f t="shared" si="57"/>
        <v>1.35</v>
      </c>
      <c r="M925" s="56" t="str">
        <f t="shared" si="58"/>
        <v/>
      </c>
      <c r="N925" s="56" t="str">
        <f t="shared" si="59"/>
        <v>OK</v>
      </c>
      <c r="O925" s="2"/>
      <c r="P925" s="27"/>
      <c r="Q925" s="2"/>
      <c r="R925" s="2"/>
    </row>
    <row r="926" spans="1:18" x14ac:dyDescent="0.35">
      <c r="A926" s="53">
        <v>633</v>
      </c>
      <c r="B926" s="53" t="s">
        <v>15</v>
      </c>
      <c r="C926" s="53" t="s">
        <v>32</v>
      </c>
      <c r="D926" s="53" t="s">
        <v>18</v>
      </c>
      <c r="E926" s="53" t="s">
        <v>27</v>
      </c>
      <c r="F926" s="54">
        <v>13098.46</v>
      </c>
      <c r="G926" s="53">
        <v>421473</v>
      </c>
      <c r="H926" s="53">
        <v>12819</v>
      </c>
      <c r="I926" s="53">
        <v>1465</v>
      </c>
      <c r="J926" s="54">
        <v>30781.381000000001</v>
      </c>
      <c r="K926" s="55">
        <f t="shared" si="56"/>
        <v>1.3500000000000003</v>
      </c>
      <c r="L926" s="56">
        <f t="shared" si="57"/>
        <v>1.3500000000000003</v>
      </c>
      <c r="M926" s="56" t="str">
        <f t="shared" si="58"/>
        <v/>
      </c>
      <c r="N926" s="56" t="str">
        <f t="shared" si="59"/>
        <v>OK</v>
      </c>
      <c r="O926" s="2"/>
      <c r="P926" s="27"/>
      <c r="Q926" s="2"/>
      <c r="R926" s="2"/>
    </row>
    <row r="927" spans="1:18" x14ac:dyDescent="0.35">
      <c r="A927" s="53">
        <v>865</v>
      </c>
      <c r="B927" s="53" t="s">
        <v>12</v>
      </c>
      <c r="C927" s="53" t="s">
        <v>32</v>
      </c>
      <c r="D927" s="53" t="s">
        <v>19</v>
      </c>
      <c r="E927" s="53" t="s">
        <v>27</v>
      </c>
      <c r="F927" s="54">
        <v>5181.7299999999996</v>
      </c>
      <c r="G927" s="53">
        <v>246187</v>
      </c>
      <c r="H927" s="53">
        <v>6083</v>
      </c>
      <c r="I927" s="53">
        <v>954</v>
      </c>
      <c r="J927" s="54">
        <v>12177.065500000001</v>
      </c>
      <c r="K927" s="55">
        <f t="shared" si="56"/>
        <v>1.3500000000000003</v>
      </c>
      <c r="L927" s="56">
        <f t="shared" si="57"/>
        <v>1.3500000000000003</v>
      </c>
      <c r="M927" s="56" t="str">
        <f t="shared" si="58"/>
        <v/>
      </c>
      <c r="N927" s="56" t="str">
        <f t="shared" si="59"/>
        <v>OK</v>
      </c>
      <c r="O927" s="2"/>
      <c r="P927" s="27"/>
      <c r="Q927" s="2"/>
      <c r="R927" s="2"/>
    </row>
    <row r="928" spans="1:18" x14ac:dyDescent="0.35">
      <c r="A928" s="57">
        <v>122</v>
      </c>
      <c r="B928" s="57" t="s">
        <v>15</v>
      </c>
      <c r="C928" s="57" t="s">
        <v>32</v>
      </c>
      <c r="D928" s="57" t="s">
        <v>20</v>
      </c>
      <c r="E928" s="57" t="s">
        <v>24</v>
      </c>
      <c r="F928" s="58">
        <v>35444.230000000003</v>
      </c>
      <c r="G928" s="57">
        <v>84601</v>
      </c>
      <c r="H928" s="57">
        <v>18742</v>
      </c>
      <c r="I928" s="57">
        <v>337</v>
      </c>
      <c r="J928" s="58">
        <v>83648.382800000007</v>
      </c>
      <c r="K928" s="55">
        <f t="shared" si="56"/>
        <v>1.3599999999999999</v>
      </c>
      <c r="L928" s="56">
        <f t="shared" si="57"/>
        <v>1.3599999999999999</v>
      </c>
      <c r="M928" s="56" t="str">
        <f t="shared" si="58"/>
        <v/>
      </c>
      <c r="N928" s="56" t="str">
        <f t="shared" si="59"/>
        <v>OK</v>
      </c>
      <c r="O928" s="2"/>
      <c r="P928" s="27"/>
      <c r="Q928" s="2"/>
      <c r="R928" s="2"/>
    </row>
    <row r="929" spans="1:18" x14ac:dyDescent="0.35">
      <c r="A929" s="57">
        <v>260</v>
      </c>
      <c r="B929" s="57" t="s">
        <v>9</v>
      </c>
      <c r="C929" s="57" t="s">
        <v>31</v>
      </c>
      <c r="D929" s="57" t="s">
        <v>21</v>
      </c>
      <c r="E929" s="57" t="s">
        <v>27</v>
      </c>
      <c r="F929" s="58">
        <v>38162.83</v>
      </c>
      <c r="G929" s="57">
        <v>367246</v>
      </c>
      <c r="H929" s="57">
        <v>12873</v>
      </c>
      <c r="I929" s="57">
        <v>1189</v>
      </c>
      <c r="J929" s="58">
        <v>90064.2788</v>
      </c>
      <c r="K929" s="55">
        <f t="shared" si="56"/>
        <v>1.3599999999999999</v>
      </c>
      <c r="L929" s="56" t="str">
        <f t="shared" si="57"/>
        <v/>
      </c>
      <c r="M929" s="56">
        <f t="shared" si="58"/>
        <v>1.3599999999999999</v>
      </c>
      <c r="N929" s="56" t="str">
        <f t="shared" si="59"/>
        <v>OK</v>
      </c>
      <c r="O929" s="2"/>
      <c r="P929" s="27"/>
      <c r="Q929" s="2"/>
      <c r="R929" s="2"/>
    </row>
    <row r="930" spans="1:18" x14ac:dyDescent="0.35">
      <c r="A930" s="57">
        <v>526</v>
      </c>
      <c r="B930" s="57" t="s">
        <v>8</v>
      </c>
      <c r="C930" s="57" t="s">
        <v>31</v>
      </c>
      <c r="D930" s="57" t="s">
        <v>19</v>
      </c>
      <c r="E930" s="57" t="s">
        <v>24</v>
      </c>
      <c r="F930" s="58">
        <v>40217.39</v>
      </c>
      <c r="G930" s="57">
        <v>748096</v>
      </c>
      <c r="H930" s="57">
        <v>19409</v>
      </c>
      <c r="I930" s="57">
        <v>504</v>
      </c>
      <c r="J930" s="58">
        <v>94913.040399999998</v>
      </c>
      <c r="K930" s="55">
        <f t="shared" si="56"/>
        <v>1.3599999999999999</v>
      </c>
      <c r="L930" s="56" t="str">
        <f t="shared" si="57"/>
        <v/>
      </c>
      <c r="M930" s="56">
        <f t="shared" si="58"/>
        <v>1.3599999999999999</v>
      </c>
      <c r="N930" s="56" t="str">
        <f t="shared" si="59"/>
        <v>OK</v>
      </c>
      <c r="O930" s="2"/>
      <c r="P930" s="27"/>
      <c r="Q930" s="2"/>
      <c r="R930" s="2"/>
    </row>
    <row r="931" spans="1:18" x14ac:dyDescent="0.35">
      <c r="A931" s="53">
        <v>67</v>
      </c>
      <c r="B931" s="53" t="s">
        <v>12</v>
      </c>
      <c r="C931" s="53" t="s">
        <v>32</v>
      </c>
      <c r="D931" s="53" t="s">
        <v>17</v>
      </c>
      <c r="E931" s="53" t="s">
        <v>29</v>
      </c>
      <c r="F931" s="54">
        <v>37427.769999999997</v>
      </c>
      <c r="G931" s="53">
        <v>55740</v>
      </c>
      <c r="H931" s="53">
        <v>16203</v>
      </c>
      <c r="I931" s="53">
        <v>694</v>
      </c>
      <c r="J931" s="54">
        <v>88329.537200000006</v>
      </c>
      <c r="K931" s="55">
        <f t="shared" si="56"/>
        <v>1.3600000000000003</v>
      </c>
      <c r="L931" s="56">
        <f t="shared" si="57"/>
        <v>1.3600000000000003</v>
      </c>
      <c r="M931" s="56" t="str">
        <f t="shared" si="58"/>
        <v/>
      </c>
      <c r="N931" s="56" t="str">
        <f t="shared" si="59"/>
        <v>OK</v>
      </c>
      <c r="O931" s="2"/>
      <c r="P931" s="27"/>
      <c r="Q931" s="2"/>
      <c r="R931" s="2"/>
    </row>
    <row r="932" spans="1:18" x14ac:dyDescent="0.35">
      <c r="A932" s="57">
        <v>190</v>
      </c>
      <c r="B932" s="57" t="s">
        <v>10</v>
      </c>
      <c r="C932" s="57" t="s">
        <v>31</v>
      </c>
      <c r="D932" s="57" t="s">
        <v>19</v>
      </c>
      <c r="E932" s="57" t="s">
        <v>24</v>
      </c>
      <c r="F932" s="58">
        <v>2778.09</v>
      </c>
      <c r="G932" s="57">
        <v>624741</v>
      </c>
      <c r="H932" s="57">
        <v>19050</v>
      </c>
      <c r="I932" s="57">
        <v>1447</v>
      </c>
      <c r="J932" s="58">
        <v>6584.0733</v>
      </c>
      <c r="K932" s="55">
        <f t="shared" si="56"/>
        <v>1.3699999999999999</v>
      </c>
      <c r="L932" s="56" t="str">
        <f t="shared" si="57"/>
        <v/>
      </c>
      <c r="M932" s="56">
        <f t="shared" si="58"/>
        <v>1.3699999999999999</v>
      </c>
      <c r="N932" s="56" t="str">
        <f t="shared" si="59"/>
        <v>OK</v>
      </c>
      <c r="O932" s="2"/>
      <c r="P932" s="27"/>
      <c r="Q932" s="2"/>
      <c r="R932" s="2"/>
    </row>
    <row r="933" spans="1:18" x14ac:dyDescent="0.35">
      <c r="A933" s="53">
        <v>517</v>
      </c>
      <c r="B933" s="53" t="s">
        <v>13</v>
      </c>
      <c r="C933" s="53" t="s">
        <v>32</v>
      </c>
      <c r="D933" s="53" t="s">
        <v>17</v>
      </c>
      <c r="E933" s="53" t="s">
        <v>25</v>
      </c>
      <c r="F933" s="54">
        <v>36348.28</v>
      </c>
      <c r="G933" s="53">
        <v>919921</v>
      </c>
      <c r="H933" s="53">
        <v>12089</v>
      </c>
      <c r="I933" s="53">
        <v>859</v>
      </c>
      <c r="J933" s="54">
        <v>86145.423599999995</v>
      </c>
      <c r="K933" s="55">
        <f t="shared" si="56"/>
        <v>1.3699999999999999</v>
      </c>
      <c r="L933" s="56">
        <f t="shared" si="57"/>
        <v>1.3699999999999999</v>
      </c>
      <c r="M933" s="56" t="str">
        <f t="shared" si="58"/>
        <v/>
      </c>
      <c r="N933" s="56" t="str">
        <f t="shared" si="59"/>
        <v>OK</v>
      </c>
      <c r="O933" s="2"/>
      <c r="P933" s="27"/>
      <c r="Q933" s="2"/>
      <c r="R933" s="2"/>
    </row>
    <row r="934" spans="1:18" x14ac:dyDescent="0.35">
      <c r="A934" s="57">
        <v>186</v>
      </c>
      <c r="B934" s="57" t="s">
        <v>15</v>
      </c>
      <c r="C934" s="57" t="s">
        <v>32</v>
      </c>
      <c r="D934" s="57" t="s">
        <v>18</v>
      </c>
      <c r="E934" s="57" t="s">
        <v>25</v>
      </c>
      <c r="F934" s="58">
        <v>24130.959999999999</v>
      </c>
      <c r="G934" s="57">
        <v>980963</v>
      </c>
      <c r="H934" s="57">
        <v>18871</v>
      </c>
      <c r="I934" s="57">
        <v>282</v>
      </c>
      <c r="J934" s="58">
        <v>57190.375200000002</v>
      </c>
      <c r="K934" s="55">
        <f t="shared" si="56"/>
        <v>1.37</v>
      </c>
      <c r="L934" s="56">
        <f t="shared" si="57"/>
        <v>1.37</v>
      </c>
      <c r="M934" s="56" t="str">
        <f t="shared" si="58"/>
        <v/>
      </c>
      <c r="N934" s="56" t="str">
        <f t="shared" si="59"/>
        <v>OK</v>
      </c>
      <c r="O934" s="2"/>
      <c r="P934" s="27"/>
      <c r="Q934" s="2"/>
      <c r="R934" s="2"/>
    </row>
    <row r="935" spans="1:18" x14ac:dyDescent="0.35">
      <c r="A935" s="53">
        <v>543</v>
      </c>
      <c r="B935" s="53" t="s">
        <v>9</v>
      </c>
      <c r="C935" s="53" t="s">
        <v>31</v>
      </c>
      <c r="D935" s="53" t="s">
        <v>17</v>
      </c>
      <c r="E935" s="53" t="s">
        <v>26</v>
      </c>
      <c r="F935" s="54">
        <v>8561.76</v>
      </c>
      <c r="G935" s="53">
        <v>650794</v>
      </c>
      <c r="H935" s="53">
        <v>1108</v>
      </c>
      <c r="I935" s="53">
        <v>1761</v>
      </c>
      <c r="J935" s="54">
        <v>20291.371200000001</v>
      </c>
      <c r="K935" s="55">
        <f t="shared" si="56"/>
        <v>1.37</v>
      </c>
      <c r="L935" s="56" t="str">
        <f t="shared" si="57"/>
        <v/>
      </c>
      <c r="M935" s="56">
        <f t="shared" si="58"/>
        <v>1.37</v>
      </c>
      <c r="N935" s="56" t="str">
        <f t="shared" si="59"/>
        <v>ERROR: Conversions &gt; Clicks</v>
      </c>
      <c r="O935" s="2"/>
      <c r="P935" s="27"/>
      <c r="Q935" s="2"/>
      <c r="R935" s="2"/>
    </row>
    <row r="936" spans="1:18" x14ac:dyDescent="0.35">
      <c r="A936" s="57">
        <v>718</v>
      </c>
      <c r="B936" s="57" t="s">
        <v>12</v>
      </c>
      <c r="C936" s="57" t="s">
        <v>32</v>
      </c>
      <c r="D936" s="57" t="s">
        <v>17</v>
      </c>
      <c r="E936" s="57" t="s">
        <v>28</v>
      </c>
      <c r="F936" s="58">
        <v>39876.31</v>
      </c>
      <c r="G936" s="57">
        <v>596349</v>
      </c>
      <c r="H936" s="57">
        <v>17700</v>
      </c>
      <c r="I936" s="57">
        <v>881</v>
      </c>
      <c r="J936" s="58">
        <v>94506.854699999996</v>
      </c>
      <c r="K936" s="55">
        <f t="shared" si="56"/>
        <v>1.37</v>
      </c>
      <c r="L936" s="56">
        <f t="shared" si="57"/>
        <v>1.37</v>
      </c>
      <c r="M936" s="56" t="str">
        <f t="shared" si="58"/>
        <v/>
      </c>
      <c r="N936" s="56" t="str">
        <f t="shared" si="59"/>
        <v>OK</v>
      </c>
      <c r="O936" s="2"/>
      <c r="P936" s="27"/>
      <c r="Q936" s="2"/>
      <c r="R936" s="2"/>
    </row>
    <row r="937" spans="1:18" x14ac:dyDescent="0.35">
      <c r="A937" s="53">
        <v>829</v>
      </c>
      <c r="B937" s="53" t="s">
        <v>8</v>
      </c>
      <c r="C937" s="53" t="s">
        <v>31</v>
      </c>
      <c r="D937" s="53" t="s">
        <v>20</v>
      </c>
      <c r="E937" s="53" t="s">
        <v>29</v>
      </c>
      <c r="F937" s="54">
        <v>34129.300000000003</v>
      </c>
      <c r="G937" s="53">
        <v>103500</v>
      </c>
      <c r="H937" s="53">
        <v>2681</v>
      </c>
      <c r="I937" s="53">
        <v>1046</v>
      </c>
      <c r="J937" s="54">
        <v>81227.733999999997</v>
      </c>
      <c r="K937" s="55">
        <f t="shared" si="56"/>
        <v>1.3799999999999997</v>
      </c>
      <c r="L937" s="56" t="str">
        <f t="shared" si="57"/>
        <v/>
      </c>
      <c r="M937" s="56">
        <f t="shared" si="58"/>
        <v>1.3799999999999997</v>
      </c>
      <c r="N937" s="56" t="str">
        <f t="shared" si="59"/>
        <v>OK</v>
      </c>
      <c r="O937" s="2"/>
      <c r="P937" s="27"/>
      <c r="Q937" s="2"/>
      <c r="R937" s="2"/>
    </row>
    <row r="938" spans="1:18" x14ac:dyDescent="0.35">
      <c r="A938" s="57">
        <v>344</v>
      </c>
      <c r="B938" s="57" t="s">
        <v>14</v>
      </c>
      <c r="C938" s="57" t="s">
        <v>32</v>
      </c>
      <c r="D938" s="57" t="s">
        <v>21</v>
      </c>
      <c r="E938" s="57" t="s">
        <v>28</v>
      </c>
      <c r="F938" s="58">
        <v>5271.79</v>
      </c>
      <c r="G938" s="57">
        <v>539274</v>
      </c>
      <c r="H938" s="57">
        <v>12200</v>
      </c>
      <c r="I938" s="57">
        <v>1755</v>
      </c>
      <c r="J938" s="58">
        <v>12546.860199999999</v>
      </c>
      <c r="K938" s="55">
        <f t="shared" si="56"/>
        <v>1.38</v>
      </c>
      <c r="L938" s="56">
        <f t="shared" si="57"/>
        <v>1.38</v>
      </c>
      <c r="M938" s="56" t="str">
        <f t="shared" si="58"/>
        <v/>
      </c>
      <c r="N938" s="56" t="str">
        <f t="shared" si="59"/>
        <v>OK</v>
      </c>
      <c r="O938" s="2"/>
      <c r="P938" s="27"/>
      <c r="Q938" s="2"/>
      <c r="R938" s="2"/>
    </row>
    <row r="939" spans="1:18" x14ac:dyDescent="0.35">
      <c r="A939" s="57">
        <v>882</v>
      </c>
      <c r="B939" s="57" t="s">
        <v>10</v>
      </c>
      <c r="C939" s="57" t="s">
        <v>31</v>
      </c>
      <c r="D939" s="57" t="s">
        <v>17</v>
      </c>
      <c r="E939" s="57" t="s">
        <v>26</v>
      </c>
      <c r="F939" s="58">
        <v>14067.08</v>
      </c>
      <c r="G939" s="57">
        <v>407650</v>
      </c>
      <c r="H939" s="57">
        <v>420</v>
      </c>
      <c r="I939" s="57">
        <v>1533</v>
      </c>
      <c r="J939" s="58">
        <v>33479.650399999999</v>
      </c>
      <c r="K939" s="55">
        <f t="shared" si="56"/>
        <v>1.38</v>
      </c>
      <c r="L939" s="56" t="str">
        <f t="shared" si="57"/>
        <v/>
      </c>
      <c r="M939" s="56">
        <f t="shared" si="58"/>
        <v>1.38</v>
      </c>
      <c r="N939" s="56" t="str">
        <f t="shared" si="59"/>
        <v>ERROR: Conversions &gt; Clicks</v>
      </c>
      <c r="O939" s="2"/>
      <c r="P939" s="27"/>
      <c r="Q939" s="2"/>
      <c r="R939" s="2"/>
    </row>
    <row r="940" spans="1:18" x14ac:dyDescent="0.35">
      <c r="A940" s="57">
        <v>916</v>
      </c>
      <c r="B940" s="57" t="s">
        <v>10</v>
      </c>
      <c r="C940" s="57" t="s">
        <v>31</v>
      </c>
      <c r="D940" s="57" t="s">
        <v>18</v>
      </c>
      <c r="E940" s="57" t="s">
        <v>29</v>
      </c>
      <c r="F940" s="58">
        <v>45073.31</v>
      </c>
      <c r="G940" s="57">
        <v>886533</v>
      </c>
      <c r="H940" s="57">
        <v>17753</v>
      </c>
      <c r="I940" s="57">
        <v>1199</v>
      </c>
      <c r="J940" s="58">
        <v>107274.47779999999</v>
      </c>
      <c r="K940" s="55">
        <f t="shared" si="56"/>
        <v>1.38</v>
      </c>
      <c r="L940" s="56" t="str">
        <f t="shared" si="57"/>
        <v/>
      </c>
      <c r="M940" s="56">
        <f t="shared" si="58"/>
        <v>1.38</v>
      </c>
      <c r="N940" s="56" t="str">
        <f t="shared" si="59"/>
        <v>OK</v>
      </c>
      <c r="O940" s="2"/>
      <c r="P940" s="27"/>
      <c r="Q940" s="2"/>
      <c r="R940" s="2"/>
    </row>
    <row r="941" spans="1:18" x14ac:dyDescent="0.35">
      <c r="A941" s="57">
        <v>38</v>
      </c>
      <c r="B941" s="57" t="s">
        <v>11</v>
      </c>
      <c r="C941" s="57" t="s">
        <v>32</v>
      </c>
      <c r="D941" s="57" t="s">
        <v>18</v>
      </c>
      <c r="E941" s="57" t="s">
        <v>25</v>
      </c>
      <c r="F941" s="58">
        <v>25306.34</v>
      </c>
      <c r="G941" s="57">
        <v>355740</v>
      </c>
      <c r="H941" s="57">
        <v>19399</v>
      </c>
      <c r="I941" s="57">
        <v>1144</v>
      </c>
      <c r="J941" s="58">
        <v>60229.089200000002</v>
      </c>
      <c r="K941" s="55">
        <f t="shared" si="56"/>
        <v>1.3800000000000001</v>
      </c>
      <c r="L941" s="56">
        <f t="shared" si="57"/>
        <v>1.3800000000000001</v>
      </c>
      <c r="M941" s="56" t="str">
        <f t="shared" si="58"/>
        <v/>
      </c>
      <c r="N941" s="56" t="str">
        <f t="shared" si="59"/>
        <v>OK</v>
      </c>
      <c r="O941" s="2"/>
      <c r="P941" s="27"/>
      <c r="Q941" s="2"/>
      <c r="R941" s="2"/>
    </row>
    <row r="942" spans="1:18" x14ac:dyDescent="0.35">
      <c r="A942" s="57">
        <v>638</v>
      </c>
      <c r="B942" s="57" t="s">
        <v>8</v>
      </c>
      <c r="C942" s="57" t="s">
        <v>31</v>
      </c>
      <c r="D942" s="57" t="s">
        <v>18</v>
      </c>
      <c r="E942" s="57" t="s">
        <v>28</v>
      </c>
      <c r="F942" s="58">
        <v>9681.3799999999992</v>
      </c>
      <c r="G942" s="57">
        <v>816457</v>
      </c>
      <c r="H942" s="57">
        <v>17557</v>
      </c>
      <c r="I942" s="57">
        <v>658</v>
      </c>
      <c r="J942" s="58">
        <v>23041.684399999998</v>
      </c>
      <c r="K942" s="55">
        <f t="shared" si="56"/>
        <v>1.3800000000000001</v>
      </c>
      <c r="L942" s="56" t="str">
        <f t="shared" si="57"/>
        <v/>
      </c>
      <c r="M942" s="56">
        <f t="shared" si="58"/>
        <v>1.3800000000000001</v>
      </c>
      <c r="N942" s="56" t="str">
        <f t="shared" si="59"/>
        <v>OK</v>
      </c>
      <c r="O942" s="2"/>
      <c r="P942" s="27"/>
      <c r="Q942" s="2"/>
      <c r="R942" s="2"/>
    </row>
    <row r="943" spans="1:18" x14ac:dyDescent="0.35">
      <c r="A943" s="57">
        <v>560</v>
      </c>
      <c r="B943" s="57" t="s">
        <v>10</v>
      </c>
      <c r="C943" s="57" t="s">
        <v>31</v>
      </c>
      <c r="D943" s="57" t="s">
        <v>22</v>
      </c>
      <c r="E943" s="57" t="s">
        <v>24</v>
      </c>
      <c r="F943" s="58">
        <v>41019.440000000002</v>
      </c>
      <c r="G943" s="57">
        <v>731755</v>
      </c>
      <c r="H943" s="57">
        <v>6351</v>
      </c>
      <c r="I943" s="57">
        <v>708</v>
      </c>
      <c r="J943" s="58">
        <v>98036.461599999995</v>
      </c>
      <c r="K943" s="55">
        <f t="shared" si="56"/>
        <v>1.3899999999999997</v>
      </c>
      <c r="L943" s="56" t="str">
        <f t="shared" si="57"/>
        <v/>
      </c>
      <c r="M943" s="56">
        <f t="shared" si="58"/>
        <v>1.3899999999999997</v>
      </c>
      <c r="N943" s="56" t="str">
        <f t="shared" si="59"/>
        <v>OK</v>
      </c>
      <c r="O943" s="2"/>
      <c r="P943" s="27"/>
      <c r="Q943" s="2"/>
      <c r="R943" s="2"/>
    </row>
    <row r="944" spans="1:18" x14ac:dyDescent="0.35">
      <c r="A944" s="57">
        <v>622</v>
      </c>
      <c r="B944" s="57" t="s">
        <v>14</v>
      </c>
      <c r="C944" s="57" t="s">
        <v>32</v>
      </c>
      <c r="D944" s="57" t="s">
        <v>22</v>
      </c>
      <c r="E944" s="57" t="s">
        <v>26</v>
      </c>
      <c r="F944" s="58">
        <v>27723.67</v>
      </c>
      <c r="G944" s="57">
        <v>956565</v>
      </c>
      <c r="H944" s="57">
        <v>14819</v>
      </c>
      <c r="I944" s="57">
        <v>822</v>
      </c>
      <c r="J944" s="58">
        <v>66259.571299999996</v>
      </c>
      <c r="K944" s="55">
        <f t="shared" si="56"/>
        <v>1.39</v>
      </c>
      <c r="L944" s="56">
        <f t="shared" si="57"/>
        <v>1.39</v>
      </c>
      <c r="M944" s="56" t="str">
        <f t="shared" si="58"/>
        <v/>
      </c>
      <c r="N944" s="56" t="str">
        <f t="shared" si="59"/>
        <v>OK</v>
      </c>
      <c r="O944" s="2"/>
      <c r="P944" s="27"/>
      <c r="Q944" s="2"/>
      <c r="R944" s="2"/>
    </row>
    <row r="945" spans="1:18" x14ac:dyDescent="0.35">
      <c r="A945" s="53">
        <v>665</v>
      </c>
      <c r="B945" s="53" t="s">
        <v>11</v>
      </c>
      <c r="C945" s="53" t="s">
        <v>32</v>
      </c>
      <c r="D945" s="53" t="s">
        <v>18</v>
      </c>
      <c r="E945" s="53" t="s">
        <v>27</v>
      </c>
      <c r="F945" s="54">
        <v>23464.85</v>
      </c>
      <c r="G945" s="53">
        <v>111948</v>
      </c>
      <c r="H945" s="53">
        <v>12558</v>
      </c>
      <c r="I945" s="53">
        <v>1364</v>
      </c>
      <c r="J945" s="54">
        <v>56080.991499999996</v>
      </c>
      <c r="K945" s="55">
        <f t="shared" si="56"/>
        <v>1.39</v>
      </c>
      <c r="L945" s="56">
        <f t="shared" si="57"/>
        <v>1.39</v>
      </c>
      <c r="M945" s="56" t="str">
        <f t="shared" si="58"/>
        <v/>
      </c>
      <c r="N945" s="56" t="str">
        <f t="shared" si="59"/>
        <v>OK</v>
      </c>
      <c r="O945" s="2"/>
      <c r="P945" s="27"/>
      <c r="Q945" s="2"/>
      <c r="R945" s="2"/>
    </row>
    <row r="946" spans="1:18" x14ac:dyDescent="0.35">
      <c r="A946" s="57">
        <v>766</v>
      </c>
      <c r="B946" s="57" t="s">
        <v>9</v>
      </c>
      <c r="C946" s="57" t="s">
        <v>31</v>
      </c>
      <c r="D946" s="57" t="s">
        <v>18</v>
      </c>
      <c r="E946" s="57" t="s">
        <v>26</v>
      </c>
      <c r="F946" s="58">
        <v>11744.42</v>
      </c>
      <c r="G946" s="57">
        <v>657652</v>
      </c>
      <c r="H946" s="57">
        <v>5550</v>
      </c>
      <c r="I946" s="57">
        <v>1691</v>
      </c>
      <c r="J946" s="58">
        <v>28069.163799999998</v>
      </c>
      <c r="K946" s="55">
        <f t="shared" si="56"/>
        <v>1.39</v>
      </c>
      <c r="L946" s="56" t="str">
        <f t="shared" si="57"/>
        <v/>
      </c>
      <c r="M946" s="56">
        <f t="shared" si="58"/>
        <v>1.39</v>
      </c>
      <c r="N946" s="56" t="str">
        <f t="shared" si="59"/>
        <v>OK</v>
      </c>
      <c r="O946" s="2"/>
      <c r="P946" s="27"/>
      <c r="Q946" s="2"/>
      <c r="R946" s="2"/>
    </row>
    <row r="947" spans="1:18" x14ac:dyDescent="0.35">
      <c r="A947" s="57">
        <v>200</v>
      </c>
      <c r="B947" s="57" t="s">
        <v>9</v>
      </c>
      <c r="C947" s="57" t="s">
        <v>31</v>
      </c>
      <c r="D947" s="57" t="s">
        <v>21</v>
      </c>
      <c r="E947" s="57" t="s">
        <v>28</v>
      </c>
      <c r="F947" s="58">
        <v>42801.39</v>
      </c>
      <c r="G947" s="57">
        <v>750520</v>
      </c>
      <c r="H947" s="57">
        <v>19778</v>
      </c>
      <c r="I947" s="57">
        <v>516</v>
      </c>
      <c r="J947" s="58">
        <v>102295.3221</v>
      </c>
      <c r="K947" s="55">
        <f t="shared" si="56"/>
        <v>1.3900000000000001</v>
      </c>
      <c r="L947" s="56" t="str">
        <f t="shared" si="57"/>
        <v/>
      </c>
      <c r="M947" s="56">
        <f t="shared" si="58"/>
        <v>1.3900000000000001</v>
      </c>
      <c r="N947" s="56" t="str">
        <f t="shared" si="59"/>
        <v>OK</v>
      </c>
      <c r="O947" s="2"/>
      <c r="P947" s="27"/>
      <c r="Q947" s="2"/>
      <c r="R947" s="2"/>
    </row>
    <row r="948" spans="1:18" x14ac:dyDescent="0.35">
      <c r="A948" s="53">
        <v>317</v>
      </c>
      <c r="B948" s="53" t="s">
        <v>9</v>
      </c>
      <c r="C948" s="53" t="s">
        <v>31</v>
      </c>
      <c r="D948" s="53" t="s">
        <v>19</v>
      </c>
      <c r="E948" s="53" t="s">
        <v>28</v>
      </c>
      <c r="F948" s="54">
        <v>16827.55</v>
      </c>
      <c r="G948" s="53">
        <v>191517</v>
      </c>
      <c r="H948" s="53">
        <v>1730</v>
      </c>
      <c r="I948" s="53">
        <v>1262</v>
      </c>
      <c r="J948" s="54">
        <v>40217.844499999999</v>
      </c>
      <c r="K948" s="55">
        <f t="shared" si="56"/>
        <v>1.3900000000000001</v>
      </c>
      <c r="L948" s="56" t="str">
        <f t="shared" si="57"/>
        <v/>
      </c>
      <c r="M948" s="56">
        <f t="shared" si="58"/>
        <v>1.3900000000000001</v>
      </c>
      <c r="N948" s="56" t="str">
        <f t="shared" si="59"/>
        <v>OK</v>
      </c>
      <c r="O948" s="2"/>
      <c r="P948" s="27"/>
      <c r="Q948" s="2"/>
      <c r="R948" s="2"/>
    </row>
    <row r="949" spans="1:18" x14ac:dyDescent="0.35">
      <c r="A949" s="57">
        <v>940</v>
      </c>
      <c r="B949" s="57" t="s">
        <v>14</v>
      </c>
      <c r="C949" s="57" t="s">
        <v>32</v>
      </c>
      <c r="D949" s="57" t="s">
        <v>21</v>
      </c>
      <c r="E949" s="57" t="s">
        <v>26</v>
      </c>
      <c r="F949" s="58">
        <v>45414.63</v>
      </c>
      <c r="G949" s="57">
        <v>393071</v>
      </c>
      <c r="H949" s="57">
        <v>14959</v>
      </c>
      <c r="I949" s="57">
        <v>200</v>
      </c>
      <c r="J949" s="58">
        <v>108540.9657</v>
      </c>
      <c r="K949" s="55">
        <f t="shared" si="56"/>
        <v>1.3900000000000001</v>
      </c>
      <c r="L949" s="56">
        <f t="shared" si="57"/>
        <v>1.3900000000000001</v>
      </c>
      <c r="M949" s="56" t="str">
        <f t="shared" si="58"/>
        <v/>
      </c>
      <c r="N949" s="56" t="str">
        <f t="shared" si="59"/>
        <v>OK</v>
      </c>
      <c r="O949" s="2"/>
      <c r="P949" s="27"/>
      <c r="Q949" s="2"/>
      <c r="R949" s="2"/>
    </row>
    <row r="950" spans="1:18" x14ac:dyDescent="0.35">
      <c r="A950" s="53">
        <v>311</v>
      </c>
      <c r="B950" s="53" t="s">
        <v>13</v>
      </c>
      <c r="C950" s="53" t="s">
        <v>32</v>
      </c>
      <c r="D950" s="53" t="s">
        <v>18</v>
      </c>
      <c r="E950" s="53" t="s">
        <v>29</v>
      </c>
      <c r="F950" s="54">
        <v>37246.79</v>
      </c>
      <c r="G950" s="53">
        <v>568963</v>
      </c>
      <c r="H950" s="53">
        <v>5609</v>
      </c>
      <c r="I950" s="53">
        <v>1799</v>
      </c>
      <c r="J950" s="54">
        <v>89392.296000000002</v>
      </c>
      <c r="K950" s="55">
        <f t="shared" si="56"/>
        <v>1.4</v>
      </c>
      <c r="L950" s="56">
        <f t="shared" si="57"/>
        <v>1.4</v>
      </c>
      <c r="M950" s="56" t="str">
        <f t="shared" si="58"/>
        <v/>
      </c>
      <c r="N950" s="56" t="str">
        <f t="shared" si="59"/>
        <v>OK</v>
      </c>
      <c r="O950" s="2"/>
      <c r="P950" s="27"/>
      <c r="Q950" s="2"/>
      <c r="R950" s="2"/>
    </row>
    <row r="951" spans="1:18" x14ac:dyDescent="0.35">
      <c r="A951" s="53">
        <v>573</v>
      </c>
      <c r="B951" s="53" t="s">
        <v>11</v>
      </c>
      <c r="C951" s="53" t="s">
        <v>32</v>
      </c>
      <c r="D951" s="53" t="s">
        <v>19</v>
      </c>
      <c r="E951" s="53" t="s">
        <v>25</v>
      </c>
      <c r="F951" s="54">
        <v>38208.199999999997</v>
      </c>
      <c r="G951" s="53">
        <v>928638</v>
      </c>
      <c r="H951" s="53">
        <v>6786</v>
      </c>
      <c r="I951" s="53">
        <v>136</v>
      </c>
      <c r="J951" s="54">
        <v>91699.68</v>
      </c>
      <c r="K951" s="55">
        <f t="shared" si="56"/>
        <v>1.4</v>
      </c>
      <c r="L951" s="56">
        <f t="shared" si="57"/>
        <v>1.4</v>
      </c>
      <c r="M951" s="56" t="str">
        <f t="shared" si="58"/>
        <v/>
      </c>
      <c r="N951" s="56" t="str">
        <f t="shared" si="59"/>
        <v>OK</v>
      </c>
      <c r="O951" s="2"/>
      <c r="P951" s="27"/>
      <c r="Q951" s="2"/>
      <c r="R951" s="2"/>
    </row>
    <row r="952" spans="1:18" x14ac:dyDescent="0.35">
      <c r="A952" s="53">
        <v>669</v>
      </c>
      <c r="B952" s="53" t="s">
        <v>15</v>
      </c>
      <c r="C952" s="53" t="s">
        <v>32</v>
      </c>
      <c r="D952" s="53" t="s">
        <v>17</v>
      </c>
      <c r="E952" s="53" t="s">
        <v>24</v>
      </c>
      <c r="F952" s="54">
        <v>3829.31</v>
      </c>
      <c r="G952" s="53">
        <v>303851</v>
      </c>
      <c r="H952" s="53">
        <v>17445</v>
      </c>
      <c r="I952" s="53">
        <v>911</v>
      </c>
      <c r="J952" s="54">
        <v>9190.3439999999991</v>
      </c>
      <c r="K952" s="55">
        <f t="shared" si="56"/>
        <v>1.4</v>
      </c>
      <c r="L952" s="56">
        <f t="shared" si="57"/>
        <v>1.4</v>
      </c>
      <c r="M952" s="56" t="str">
        <f t="shared" si="58"/>
        <v/>
      </c>
      <c r="N952" s="56" t="str">
        <f t="shared" si="59"/>
        <v>OK</v>
      </c>
      <c r="O952" s="2"/>
      <c r="P952" s="27"/>
      <c r="Q952" s="2"/>
      <c r="R952" s="2"/>
    </row>
    <row r="953" spans="1:18" x14ac:dyDescent="0.35">
      <c r="A953" s="57">
        <v>420</v>
      </c>
      <c r="B953" s="57" t="s">
        <v>10</v>
      </c>
      <c r="C953" s="57" t="s">
        <v>31</v>
      </c>
      <c r="D953" s="57" t="s">
        <v>17</v>
      </c>
      <c r="E953" s="57" t="s">
        <v>29</v>
      </c>
      <c r="F953" s="58">
        <v>36782.06</v>
      </c>
      <c r="G953" s="57">
        <v>99116</v>
      </c>
      <c r="H953" s="57">
        <v>13404</v>
      </c>
      <c r="I953" s="57">
        <v>529</v>
      </c>
      <c r="J953" s="58">
        <v>88276.944000000003</v>
      </c>
      <c r="K953" s="55">
        <f t="shared" si="56"/>
        <v>1.4000000000000001</v>
      </c>
      <c r="L953" s="56" t="str">
        <f t="shared" si="57"/>
        <v/>
      </c>
      <c r="M953" s="56">
        <f t="shared" si="58"/>
        <v>1.4000000000000001</v>
      </c>
      <c r="N953" s="56" t="str">
        <f t="shared" si="59"/>
        <v>OK</v>
      </c>
      <c r="O953" s="2"/>
      <c r="P953" s="27"/>
      <c r="Q953" s="2"/>
      <c r="R953" s="2"/>
    </row>
    <row r="954" spans="1:18" x14ac:dyDescent="0.35">
      <c r="A954" s="53">
        <v>485</v>
      </c>
      <c r="B954" s="53" t="s">
        <v>15</v>
      </c>
      <c r="C954" s="53" t="s">
        <v>32</v>
      </c>
      <c r="D954" s="53" t="s">
        <v>17</v>
      </c>
      <c r="E954" s="53" t="s">
        <v>25</v>
      </c>
      <c r="F954" s="54">
        <v>42852.66</v>
      </c>
      <c r="G954" s="53">
        <v>924565</v>
      </c>
      <c r="H954" s="53">
        <v>1373</v>
      </c>
      <c r="I954" s="53">
        <v>1352</v>
      </c>
      <c r="J954" s="54">
        <v>103274.9106</v>
      </c>
      <c r="K954" s="55">
        <f t="shared" si="56"/>
        <v>1.41</v>
      </c>
      <c r="L954" s="56">
        <f t="shared" si="57"/>
        <v>1.41</v>
      </c>
      <c r="M954" s="56" t="str">
        <f t="shared" si="58"/>
        <v/>
      </c>
      <c r="N954" s="56" t="str">
        <f t="shared" si="59"/>
        <v>OK</v>
      </c>
      <c r="O954" s="2"/>
      <c r="P954" s="27"/>
      <c r="Q954" s="2"/>
      <c r="R954" s="2"/>
    </row>
    <row r="955" spans="1:18" x14ac:dyDescent="0.35">
      <c r="A955" s="57">
        <v>636</v>
      </c>
      <c r="B955" s="57" t="s">
        <v>14</v>
      </c>
      <c r="C955" s="57" t="s">
        <v>32</v>
      </c>
      <c r="D955" s="57" t="s">
        <v>21</v>
      </c>
      <c r="E955" s="57" t="s">
        <v>28</v>
      </c>
      <c r="F955" s="58">
        <v>41513.93</v>
      </c>
      <c r="G955" s="57">
        <v>897553</v>
      </c>
      <c r="H955" s="57">
        <v>14331</v>
      </c>
      <c r="I955" s="57">
        <v>655</v>
      </c>
      <c r="J955" s="58">
        <v>100048.5713</v>
      </c>
      <c r="K955" s="55">
        <f t="shared" si="56"/>
        <v>1.41</v>
      </c>
      <c r="L955" s="56">
        <f t="shared" si="57"/>
        <v>1.41</v>
      </c>
      <c r="M955" s="56" t="str">
        <f t="shared" si="58"/>
        <v/>
      </c>
      <c r="N955" s="56" t="str">
        <f t="shared" si="59"/>
        <v>OK</v>
      </c>
      <c r="O955" s="2"/>
      <c r="P955" s="27"/>
      <c r="Q955" s="2"/>
      <c r="R955" s="2"/>
    </row>
    <row r="956" spans="1:18" x14ac:dyDescent="0.35">
      <c r="A956" s="53">
        <v>743</v>
      </c>
      <c r="B956" s="53" t="s">
        <v>14</v>
      </c>
      <c r="C956" s="53" t="s">
        <v>32</v>
      </c>
      <c r="D956" s="53" t="s">
        <v>21</v>
      </c>
      <c r="E956" s="53" t="s">
        <v>24</v>
      </c>
      <c r="F956" s="54">
        <v>29274.99</v>
      </c>
      <c r="G956" s="53">
        <v>755423</v>
      </c>
      <c r="H956" s="53">
        <v>19580</v>
      </c>
      <c r="I956" s="53">
        <v>390</v>
      </c>
      <c r="J956" s="54">
        <v>70552.725900000005</v>
      </c>
      <c r="K956" s="55">
        <f t="shared" si="56"/>
        <v>1.41</v>
      </c>
      <c r="L956" s="56">
        <f t="shared" si="57"/>
        <v>1.41</v>
      </c>
      <c r="M956" s="56" t="str">
        <f t="shared" si="58"/>
        <v/>
      </c>
      <c r="N956" s="56" t="str">
        <f t="shared" si="59"/>
        <v>OK</v>
      </c>
      <c r="O956" s="2"/>
      <c r="P956" s="27"/>
      <c r="Q956" s="2"/>
      <c r="R956" s="2"/>
    </row>
    <row r="957" spans="1:18" x14ac:dyDescent="0.35">
      <c r="A957" s="53">
        <v>913</v>
      </c>
      <c r="B957" s="53" t="s">
        <v>15</v>
      </c>
      <c r="C957" s="53" t="s">
        <v>32</v>
      </c>
      <c r="D957" s="53" t="s">
        <v>17</v>
      </c>
      <c r="E957" s="53" t="s">
        <v>24</v>
      </c>
      <c r="F957" s="54">
        <v>15266.07</v>
      </c>
      <c r="G957" s="53">
        <v>975441</v>
      </c>
      <c r="H957" s="53">
        <v>1484</v>
      </c>
      <c r="I957" s="53">
        <v>1317</v>
      </c>
      <c r="J957" s="54">
        <v>36791.2287</v>
      </c>
      <c r="K957" s="55">
        <f t="shared" si="56"/>
        <v>1.41</v>
      </c>
      <c r="L957" s="56">
        <f t="shared" si="57"/>
        <v>1.41</v>
      </c>
      <c r="M957" s="56" t="str">
        <f t="shared" si="58"/>
        <v/>
      </c>
      <c r="N957" s="56" t="str">
        <f t="shared" si="59"/>
        <v>OK</v>
      </c>
      <c r="O957" s="2"/>
      <c r="P957" s="27"/>
      <c r="Q957" s="2"/>
      <c r="R957" s="2"/>
    </row>
    <row r="958" spans="1:18" x14ac:dyDescent="0.35">
      <c r="A958" s="57">
        <v>960</v>
      </c>
      <c r="B958" s="57" t="s">
        <v>8</v>
      </c>
      <c r="C958" s="57" t="s">
        <v>31</v>
      </c>
      <c r="D958" s="57" t="s">
        <v>21</v>
      </c>
      <c r="E958" s="57" t="s">
        <v>26</v>
      </c>
      <c r="F958" s="58">
        <v>48153.2</v>
      </c>
      <c r="G958" s="57">
        <v>205784</v>
      </c>
      <c r="H958" s="57">
        <v>14729</v>
      </c>
      <c r="I958" s="57">
        <v>1156</v>
      </c>
      <c r="J958" s="58">
        <v>116049.212</v>
      </c>
      <c r="K958" s="55">
        <f t="shared" si="56"/>
        <v>1.4100000000000001</v>
      </c>
      <c r="L958" s="56" t="str">
        <f t="shared" si="57"/>
        <v/>
      </c>
      <c r="M958" s="56">
        <f t="shared" si="58"/>
        <v>1.4100000000000001</v>
      </c>
      <c r="N958" s="56" t="str">
        <f t="shared" si="59"/>
        <v>OK</v>
      </c>
      <c r="O958" s="2"/>
      <c r="P958" s="27"/>
      <c r="Q958" s="2"/>
      <c r="R958" s="2"/>
    </row>
    <row r="959" spans="1:18" x14ac:dyDescent="0.35">
      <c r="A959" s="57">
        <v>96</v>
      </c>
      <c r="B959" s="57" t="s">
        <v>10</v>
      </c>
      <c r="C959" s="57" t="s">
        <v>31</v>
      </c>
      <c r="D959" s="57" t="s">
        <v>20</v>
      </c>
      <c r="E959" s="57" t="s">
        <v>27</v>
      </c>
      <c r="F959" s="58">
        <v>37727.730000000003</v>
      </c>
      <c r="G959" s="57">
        <v>167608</v>
      </c>
      <c r="H959" s="57">
        <v>6744</v>
      </c>
      <c r="I959" s="57">
        <v>761</v>
      </c>
      <c r="J959" s="58">
        <v>91301.106599999999</v>
      </c>
      <c r="K959" s="55">
        <f t="shared" si="56"/>
        <v>1.4199999999999997</v>
      </c>
      <c r="L959" s="56" t="str">
        <f t="shared" si="57"/>
        <v/>
      </c>
      <c r="M959" s="56">
        <f t="shared" si="58"/>
        <v>1.4199999999999997</v>
      </c>
      <c r="N959" s="56" t="str">
        <f t="shared" si="59"/>
        <v>OK</v>
      </c>
      <c r="O959" s="2"/>
      <c r="P959" s="27"/>
      <c r="Q959" s="2"/>
      <c r="R959" s="2"/>
    </row>
    <row r="960" spans="1:18" x14ac:dyDescent="0.35">
      <c r="A960" s="53">
        <v>147</v>
      </c>
      <c r="B960" s="53" t="s">
        <v>9</v>
      </c>
      <c r="C960" s="53" t="s">
        <v>31</v>
      </c>
      <c r="D960" s="53" t="s">
        <v>21</v>
      </c>
      <c r="E960" s="53" t="s">
        <v>28</v>
      </c>
      <c r="F960" s="54">
        <v>9500.52</v>
      </c>
      <c r="G960" s="53">
        <v>386087</v>
      </c>
      <c r="H960" s="53">
        <v>17932</v>
      </c>
      <c r="I960" s="53">
        <v>1922</v>
      </c>
      <c r="J960" s="54">
        <v>22991.258399999999</v>
      </c>
      <c r="K960" s="55">
        <f t="shared" si="56"/>
        <v>1.4199999999999997</v>
      </c>
      <c r="L960" s="56" t="str">
        <f t="shared" si="57"/>
        <v/>
      </c>
      <c r="M960" s="56">
        <f t="shared" si="58"/>
        <v>1.4199999999999997</v>
      </c>
      <c r="N960" s="56" t="str">
        <f t="shared" si="59"/>
        <v>OK</v>
      </c>
      <c r="O960" s="2"/>
      <c r="P960" s="27"/>
      <c r="Q960" s="2"/>
      <c r="R960" s="2"/>
    </row>
    <row r="961" spans="1:18" x14ac:dyDescent="0.35">
      <c r="A961" s="53">
        <v>645</v>
      </c>
      <c r="B961" s="53" t="s">
        <v>13</v>
      </c>
      <c r="C961" s="53" t="s">
        <v>32</v>
      </c>
      <c r="D961" s="53" t="s">
        <v>17</v>
      </c>
      <c r="E961" s="53" t="s">
        <v>28</v>
      </c>
      <c r="F961" s="54">
        <v>29566.240000000002</v>
      </c>
      <c r="G961" s="53">
        <v>708787</v>
      </c>
      <c r="H961" s="53">
        <v>10737</v>
      </c>
      <c r="I961" s="53">
        <v>305</v>
      </c>
      <c r="J961" s="54">
        <v>71550.300799999997</v>
      </c>
      <c r="K961" s="55">
        <f t="shared" si="56"/>
        <v>1.4199999999999997</v>
      </c>
      <c r="L961" s="56">
        <f t="shared" si="57"/>
        <v>1.4199999999999997</v>
      </c>
      <c r="M961" s="56" t="str">
        <f t="shared" si="58"/>
        <v/>
      </c>
      <c r="N961" s="56" t="str">
        <f t="shared" si="59"/>
        <v>OK</v>
      </c>
      <c r="O961" s="2"/>
      <c r="P961" s="27"/>
      <c r="Q961" s="2"/>
      <c r="R961" s="2"/>
    </row>
    <row r="962" spans="1:18" x14ac:dyDescent="0.35">
      <c r="A962" s="53">
        <v>163</v>
      </c>
      <c r="B962" s="53" t="s">
        <v>13</v>
      </c>
      <c r="C962" s="53" t="s">
        <v>32</v>
      </c>
      <c r="D962" s="53" t="s">
        <v>18</v>
      </c>
      <c r="E962" s="53" t="s">
        <v>28</v>
      </c>
      <c r="F962" s="54">
        <v>35185.86</v>
      </c>
      <c r="G962" s="53">
        <v>147686</v>
      </c>
      <c r="H962" s="53">
        <v>17619</v>
      </c>
      <c r="I962" s="53">
        <v>532</v>
      </c>
      <c r="J962" s="54">
        <v>85149.781199999998</v>
      </c>
      <c r="K962" s="55">
        <f t="shared" ref="K962:K1001" si="60">(J962-F962)/F962</f>
        <v>1.42</v>
      </c>
      <c r="L962" s="56">
        <f t="shared" ref="L962:L1001" si="61">IF(C962="Digital",K962,"")</f>
        <v>1.42</v>
      </c>
      <c r="M962" s="56" t="str">
        <f t="shared" ref="M962:M1001" si="62">IF(C962="Traditional",K962,"")</f>
        <v/>
      </c>
      <c r="N962" s="56" t="str">
        <f t="shared" ref="N962:N1001" si="63">IF(H962&gt;G962,"ERROR: Clicks &gt; Impressions",IF(I962&gt;H962,"ERROR: Conversions &gt; Clicks","OK"))</f>
        <v>OK</v>
      </c>
      <c r="O962" s="2"/>
      <c r="P962" s="27"/>
      <c r="Q962" s="2"/>
      <c r="R962" s="2"/>
    </row>
    <row r="963" spans="1:18" x14ac:dyDescent="0.35">
      <c r="A963" s="57">
        <v>492</v>
      </c>
      <c r="B963" s="57" t="s">
        <v>15</v>
      </c>
      <c r="C963" s="57" t="s">
        <v>32</v>
      </c>
      <c r="D963" s="57" t="s">
        <v>18</v>
      </c>
      <c r="E963" s="57" t="s">
        <v>27</v>
      </c>
      <c r="F963" s="58">
        <v>11706.98</v>
      </c>
      <c r="G963" s="57">
        <v>629055</v>
      </c>
      <c r="H963" s="57">
        <v>4347</v>
      </c>
      <c r="I963" s="57">
        <v>120</v>
      </c>
      <c r="J963" s="58">
        <v>28330.891599999999</v>
      </c>
      <c r="K963" s="55">
        <f t="shared" si="60"/>
        <v>1.42</v>
      </c>
      <c r="L963" s="56">
        <f t="shared" si="61"/>
        <v>1.42</v>
      </c>
      <c r="M963" s="56" t="str">
        <f t="shared" si="62"/>
        <v/>
      </c>
      <c r="N963" s="56" t="str">
        <f t="shared" si="63"/>
        <v>OK</v>
      </c>
      <c r="O963" s="2"/>
      <c r="P963" s="27"/>
      <c r="Q963" s="2"/>
      <c r="R963" s="2"/>
    </row>
    <row r="964" spans="1:18" x14ac:dyDescent="0.35">
      <c r="A964" s="53">
        <v>549</v>
      </c>
      <c r="B964" s="53" t="s">
        <v>14</v>
      </c>
      <c r="C964" s="53" t="s">
        <v>32</v>
      </c>
      <c r="D964" s="53" t="s">
        <v>20</v>
      </c>
      <c r="E964" s="53" t="s">
        <v>29</v>
      </c>
      <c r="F964" s="54">
        <v>49571.9</v>
      </c>
      <c r="G964" s="53">
        <v>269480</v>
      </c>
      <c r="H964" s="53">
        <v>410</v>
      </c>
      <c r="I964" s="53">
        <v>735</v>
      </c>
      <c r="J964" s="54">
        <v>119963.99800000001</v>
      </c>
      <c r="K964" s="55">
        <f t="shared" si="60"/>
        <v>1.42</v>
      </c>
      <c r="L964" s="56">
        <f t="shared" si="61"/>
        <v>1.42</v>
      </c>
      <c r="M964" s="56" t="str">
        <f t="shared" si="62"/>
        <v/>
      </c>
      <c r="N964" s="56" t="str">
        <f t="shared" si="63"/>
        <v>ERROR: Conversions &gt; Clicks</v>
      </c>
      <c r="O964" s="2"/>
      <c r="P964" s="27"/>
      <c r="Q964" s="2"/>
      <c r="R964" s="2"/>
    </row>
    <row r="965" spans="1:18" x14ac:dyDescent="0.35">
      <c r="A965" s="53">
        <v>677</v>
      </c>
      <c r="B965" s="53" t="s">
        <v>12</v>
      </c>
      <c r="C965" s="53" t="s">
        <v>32</v>
      </c>
      <c r="D965" s="53" t="s">
        <v>17</v>
      </c>
      <c r="E965" s="53" t="s">
        <v>28</v>
      </c>
      <c r="F965" s="54">
        <v>37976.44</v>
      </c>
      <c r="G965" s="53">
        <v>378760</v>
      </c>
      <c r="H965" s="53">
        <v>5416</v>
      </c>
      <c r="I965" s="53">
        <v>1918</v>
      </c>
      <c r="J965" s="54">
        <v>91902.984800000006</v>
      </c>
      <c r="K965" s="55">
        <f t="shared" si="60"/>
        <v>1.42</v>
      </c>
      <c r="L965" s="56">
        <f t="shared" si="61"/>
        <v>1.42</v>
      </c>
      <c r="M965" s="56" t="str">
        <f t="shared" si="62"/>
        <v/>
      </c>
      <c r="N965" s="56" t="str">
        <f t="shared" si="63"/>
        <v>OK</v>
      </c>
      <c r="O965" s="2"/>
      <c r="P965" s="27"/>
      <c r="Q965" s="2"/>
      <c r="R965" s="2"/>
    </row>
    <row r="966" spans="1:18" x14ac:dyDescent="0.35">
      <c r="A966" s="53">
        <v>995</v>
      </c>
      <c r="B966" s="53" t="s">
        <v>12</v>
      </c>
      <c r="C966" s="53" t="s">
        <v>32</v>
      </c>
      <c r="D966" s="53" t="s">
        <v>17</v>
      </c>
      <c r="E966" s="53" t="s">
        <v>27</v>
      </c>
      <c r="F966" s="54">
        <v>47691.94</v>
      </c>
      <c r="G966" s="53">
        <v>840948</v>
      </c>
      <c r="H966" s="53">
        <v>16409</v>
      </c>
      <c r="I966" s="53">
        <v>1883</v>
      </c>
      <c r="J966" s="54">
        <v>115414.4948</v>
      </c>
      <c r="K966" s="55">
        <f t="shared" si="60"/>
        <v>1.42</v>
      </c>
      <c r="L966" s="56">
        <f t="shared" si="61"/>
        <v>1.42</v>
      </c>
      <c r="M966" s="56" t="str">
        <f t="shared" si="62"/>
        <v/>
      </c>
      <c r="N966" s="56" t="str">
        <f t="shared" si="63"/>
        <v>OK</v>
      </c>
      <c r="O966" s="2"/>
      <c r="P966" s="27"/>
      <c r="Q966" s="2"/>
      <c r="R966" s="2"/>
    </row>
    <row r="967" spans="1:18" x14ac:dyDescent="0.35">
      <c r="A967" s="57">
        <v>102</v>
      </c>
      <c r="B967" s="57" t="s">
        <v>14</v>
      </c>
      <c r="C967" s="57" t="s">
        <v>32</v>
      </c>
      <c r="D967" s="57" t="s">
        <v>22</v>
      </c>
      <c r="E967" s="57" t="s">
        <v>29</v>
      </c>
      <c r="F967" s="58">
        <v>25600.46</v>
      </c>
      <c r="G967" s="57">
        <v>406087</v>
      </c>
      <c r="H967" s="57">
        <v>8405</v>
      </c>
      <c r="I967" s="57">
        <v>1812</v>
      </c>
      <c r="J967" s="58">
        <v>61953.1132</v>
      </c>
      <c r="K967" s="55">
        <f t="shared" si="60"/>
        <v>1.4200000000000002</v>
      </c>
      <c r="L967" s="56">
        <f t="shared" si="61"/>
        <v>1.4200000000000002</v>
      </c>
      <c r="M967" s="56" t="str">
        <f t="shared" si="62"/>
        <v/>
      </c>
      <c r="N967" s="56" t="str">
        <f t="shared" si="63"/>
        <v>OK</v>
      </c>
      <c r="O967" s="2"/>
      <c r="P967" s="27"/>
      <c r="Q967" s="2"/>
      <c r="R967" s="2"/>
    </row>
    <row r="968" spans="1:18" x14ac:dyDescent="0.35">
      <c r="A968" s="53">
        <v>525</v>
      </c>
      <c r="B968" s="53" t="s">
        <v>14</v>
      </c>
      <c r="C968" s="53" t="s">
        <v>32</v>
      </c>
      <c r="D968" s="53" t="s">
        <v>18</v>
      </c>
      <c r="E968" s="53" t="s">
        <v>24</v>
      </c>
      <c r="F968" s="54">
        <v>33599.31</v>
      </c>
      <c r="G968" s="53">
        <v>707411</v>
      </c>
      <c r="H968" s="53">
        <v>349</v>
      </c>
      <c r="I968" s="53">
        <v>597</v>
      </c>
      <c r="J968" s="54">
        <v>81310.330199999997</v>
      </c>
      <c r="K968" s="55">
        <f t="shared" si="60"/>
        <v>1.4200000000000002</v>
      </c>
      <c r="L968" s="56">
        <f t="shared" si="61"/>
        <v>1.4200000000000002</v>
      </c>
      <c r="M968" s="56" t="str">
        <f t="shared" si="62"/>
        <v/>
      </c>
      <c r="N968" s="56" t="str">
        <f t="shared" si="63"/>
        <v>ERROR: Conversions &gt; Clicks</v>
      </c>
      <c r="O968" s="2"/>
      <c r="P968" s="27"/>
      <c r="Q968" s="2"/>
      <c r="R968" s="2"/>
    </row>
    <row r="969" spans="1:18" x14ac:dyDescent="0.35">
      <c r="A969" s="57">
        <v>1000</v>
      </c>
      <c r="B969" s="57" t="s">
        <v>9</v>
      </c>
      <c r="C969" s="57" t="s">
        <v>31</v>
      </c>
      <c r="D969" s="57" t="s">
        <v>19</v>
      </c>
      <c r="E969" s="57" t="s">
        <v>25</v>
      </c>
      <c r="F969" s="58">
        <v>16190</v>
      </c>
      <c r="G969" s="57">
        <v>94811</v>
      </c>
      <c r="H969" s="57">
        <v>10630</v>
      </c>
      <c r="I969" s="57">
        <v>1368</v>
      </c>
      <c r="J969" s="58">
        <v>39179.800000000003</v>
      </c>
      <c r="K969" s="55">
        <f t="shared" si="60"/>
        <v>1.4200000000000002</v>
      </c>
      <c r="L969" s="56" t="str">
        <f t="shared" si="61"/>
        <v/>
      </c>
      <c r="M969" s="56">
        <f t="shared" si="62"/>
        <v>1.4200000000000002</v>
      </c>
      <c r="N969" s="56" t="str">
        <f t="shared" si="63"/>
        <v>OK</v>
      </c>
      <c r="O969" s="2"/>
      <c r="P969" s="27"/>
      <c r="Q969" s="2"/>
      <c r="R969" s="2"/>
    </row>
    <row r="970" spans="1:18" x14ac:dyDescent="0.35">
      <c r="A970" s="57">
        <v>614</v>
      </c>
      <c r="B970" s="57" t="s">
        <v>14</v>
      </c>
      <c r="C970" s="57" t="s">
        <v>32</v>
      </c>
      <c r="D970" s="57" t="s">
        <v>21</v>
      </c>
      <c r="E970" s="57" t="s">
        <v>28</v>
      </c>
      <c r="F970" s="58">
        <v>24904.71</v>
      </c>
      <c r="G970" s="57">
        <v>544391</v>
      </c>
      <c r="H970" s="57">
        <v>11895</v>
      </c>
      <c r="I970" s="57">
        <v>1888</v>
      </c>
      <c r="J970" s="58">
        <v>60518.445299999999</v>
      </c>
      <c r="K970" s="55">
        <f t="shared" si="60"/>
        <v>1.4300000000000002</v>
      </c>
      <c r="L970" s="56">
        <f t="shared" si="61"/>
        <v>1.4300000000000002</v>
      </c>
      <c r="M970" s="56" t="str">
        <f t="shared" si="62"/>
        <v/>
      </c>
      <c r="N970" s="56" t="str">
        <f t="shared" si="63"/>
        <v>OK</v>
      </c>
      <c r="O970" s="2"/>
      <c r="P970" s="27"/>
      <c r="Q970" s="2"/>
      <c r="R970" s="2"/>
    </row>
    <row r="971" spans="1:18" x14ac:dyDescent="0.35">
      <c r="A971" s="57">
        <v>296</v>
      </c>
      <c r="B971" s="57" t="s">
        <v>12</v>
      </c>
      <c r="C971" s="57" t="s">
        <v>32</v>
      </c>
      <c r="D971" s="57" t="s">
        <v>18</v>
      </c>
      <c r="E971" s="57" t="s">
        <v>28</v>
      </c>
      <c r="F971" s="58">
        <v>31060.18</v>
      </c>
      <c r="G971" s="57">
        <v>307142</v>
      </c>
      <c r="H971" s="57">
        <v>19593</v>
      </c>
      <c r="I971" s="57">
        <v>451</v>
      </c>
      <c r="J971" s="58">
        <v>75786.839200000002</v>
      </c>
      <c r="K971" s="55">
        <f t="shared" si="60"/>
        <v>1.44</v>
      </c>
      <c r="L971" s="56">
        <f t="shared" si="61"/>
        <v>1.44</v>
      </c>
      <c r="M971" s="56" t="str">
        <f t="shared" si="62"/>
        <v/>
      </c>
      <c r="N971" s="56" t="str">
        <f t="shared" si="63"/>
        <v>OK</v>
      </c>
      <c r="O971" s="2"/>
      <c r="P971" s="27"/>
      <c r="Q971" s="2"/>
      <c r="R971" s="2"/>
    </row>
    <row r="972" spans="1:18" x14ac:dyDescent="0.35">
      <c r="A972" s="57">
        <v>970</v>
      </c>
      <c r="B972" s="57" t="s">
        <v>9</v>
      </c>
      <c r="C972" s="57" t="s">
        <v>31</v>
      </c>
      <c r="D972" s="57" t="s">
        <v>17</v>
      </c>
      <c r="E972" s="57" t="s">
        <v>29</v>
      </c>
      <c r="F972" s="58">
        <v>44986.06</v>
      </c>
      <c r="G972" s="57">
        <v>873731</v>
      </c>
      <c r="H972" s="57">
        <v>13097</v>
      </c>
      <c r="I972" s="57">
        <v>392</v>
      </c>
      <c r="J972" s="58">
        <v>109765.98639999999</v>
      </c>
      <c r="K972" s="55">
        <f t="shared" si="60"/>
        <v>1.44</v>
      </c>
      <c r="L972" s="56" t="str">
        <f t="shared" si="61"/>
        <v/>
      </c>
      <c r="M972" s="56">
        <f t="shared" si="62"/>
        <v>1.44</v>
      </c>
      <c r="N972" s="56" t="str">
        <f t="shared" si="63"/>
        <v>OK</v>
      </c>
      <c r="O972" s="2"/>
      <c r="P972" s="27"/>
      <c r="Q972" s="2"/>
      <c r="R972" s="2"/>
    </row>
    <row r="973" spans="1:18" x14ac:dyDescent="0.35">
      <c r="A973" s="57">
        <v>932</v>
      </c>
      <c r="B973" s="57" t="s">
        <v>12</v>
      </c>
      <c r="C973" s="57" t="s">
        <v>32</v>
      </c>
      <c r="D973" s="57" t="s">
        <v>17</v>
      </c>
      <c r="E973" s="57" t="s">
        <v>26</v>
      </c>
      <c r="F973" s="58">
        <v>36555.730000000003</v>
      </c>
      <c r="G973" s="57">
        <v>823629</v>
      </c>
      <c r="H973" s="57">
        <v>16135</v>
      </c>
      <c r="I973" s="57">
        <v>1769</v>
      </c>
      <c r="J973" s="58">
        <v>89561.538499999995</v>
      </c>
      <c r="K973" s="55">
        <f t="shared" si="60"/>
        <v>1.4499999999999997</v>
      </c>
      <c r="L973" s="56">
        <f t="shared" si="61"/>
        <v>1.4499999999999997</v>
      </c>
      <c r="M973" s="56" t="str">
        <f t="shared" si="62"/>
        <v/>
      </c>
      <c r="N973" s="56" t="str">
        <f t="shared" si="63"/>
        <v>OK</v>
      </c>
      <c r="O973" s="2"/>
      <c r="P973" s="27"/>
      <c r="Q973" s="2"/>
      <c r="R973" s="2"/>
    </row>
    <row r="974" spans="1:18" x14ac:dyDescent="0.35">
      <c r="A974" s="57">
        <v>166</v>
      </c>
      <c r="B974" s="57" t="s">
        <v>11</v>
      </c>
      <c r="C974" s="57" t="s">
        <v>32</v>
      </c>
      <c r="D974" s="57" t="s">
        <v>19</v>
      </c>
      <c r="E974" s="57" t="s">
        <v>25</v>
      </c>
      <c r="F974" s="58">
        <v>3750.67</v>
      </c>
      <c r="G974" s="57">
        <v>447100</v>
      </c>
      <c r="H974" s="57">
        <v>7326</v>
      </c>
      <c r="I974" s="57">
        <v>1248</v>
      </c>
      <c r="J974" s="58">
        <v>9189.1414999999997</v>
      </c>
      <c r="K974" s="55">
        <f t="shared" si="60"/>
        <v>1.45</v>
      </c>
      <c r="L974" s="56">
        <f t="shared" si="61"/>
        <v>1.45</v>
      </c>
      <c r="M974" s="56" t="str">
        <f t="shared" si="62"/>
        <v/>
      </c>
      <c r="N974" s="56" t="str">
        <f t="shared" si="63"/>
        <v>OK</v>
      </c>
      <c r="O974" s="2"/>
      <c r="P974" s="27"/>
      <c r="Q974" s="2"/>
      <c r="R974" s="2"/>
    </row>
    <row r="975" spans="1:18" x14ac:dyDescent="0.35">
      <c r="A975" s="53">
        <v>197</v>
      </c>
      <c r="B975" s="53" t="s">
        <v>14</v>
      </c>
      <c r="C975" s="53" t="s">
        <v>32</v>
      </c>
      <c r="D975" s="53" t="s">
        <v>17</v>
      </c>
      <c r="E975" s="53" t="s">
        <v>28</v>
      </c>
      <c r="F975" s="54">
        <v>42394.68</v>
      </c>
      <c r="G975" s="53">
        <v>892174</v>
      </c>
      <c r="H975" s="53">
        <v>17741</v>
      </c>
      <c r="I975" s="53">
        <v>956</v>
      </c>
      <c r="J975" s="54">
        <v>103866.966</v>
      </c>
      <c r="K975" s="55">
        <f t="shared" si="60"/>
        <v>1.45</v>
      </c>
      <c r="L975" s="56">
        <f t="shared" si="61"/>
        <v>1.45</v>
      </c>
      <c r="M975" s="56" t="str">
        <f t="shared" si="62"/>
        <v/>
      </c>
      <c r="N975" s="56" t="str">
        <f t="shared" si="63"/>
        <v>OK</v>
      </c>
      <c r="O975" s="2"/>
      <c r="P975" s="27"/>
      <c r="Q975" s="2"/>
      <c r="R975" s="2"/>
    </row>
    <row r="976" spans="1:18" x14ac:dyDescent="0.35">
      <c r="A976" s="57">
        <v>878</v>
      </c>
      <c r="B976" s="57" t="s">
        <v>14</v>
      </c>
      <c r="C976" s="57" t="s">
        <v>32</v>
      </c>
      <c r="D976" s="57" t="s">
        <v>21</v>
      </c>
      <c r="E976" s="57" t="s">
        <v>26</v>
      </c>
      <c r="F976" s="58">
        <v>2539.67</v>
      </c>
      <c r="G976" s="57">
        <v>243192</v>
      </c>
      <c r="H976" s="57">
        <v>2754</v>
      </c>
      <c r="I976" s="57">
        <v>1617</v>
      </c>
      <c r="J976" s="58">
        <v>6222.1914999999999</v>
      </c>
      <c r="K976" s="55">
        <f t="shared" si="60"/>
        <v>1.45</v>
      </c>
      <c r="L976" s="56">
        <f t="shared" si="61"/>
        <v>1.45</v>
      </c>
      <c r="M976" s="56" t="str">
        <f t="shared" si="62"/>
        <v/>
      </c>
      <c r="N976" s="56" t="str">
        <f t="shared" si="63"/>
        <v>OK</v>
      </c>
      <c r="O976" s="2"/>
      <c r="P976" s="27"/>
      <c r="Q976" s="2"/>
      <c r="R976" s="2"/>
    </row>
    <row r="977" spans="1:18" x14ac:dyDescent="0.35">
      <c r="A977" s="57">
        <v>598</v>
      </c>
      <c r="B977" s="57" t="s">
        <v>8</v>
      </c>
      <c r="C977" s="57" t="s">
        <v>31</v>
      </c>
      <c r="D977" s="57" t="s">
        <v>22</v>
      </c>
      <c r="E977" s="57" t="s">
        <v>24</v>
      </c>
      <c r="F977" s="58">
        <v>29430.85</v>
      </c>
      <c r="G977" s="57">
        <v>126214</v>
      </c>
      <c r="H977" s="57">
        <v>7793</v>
      </c>
      <c r="I977" s="57">
        <v>1954</v>
      </c>
      <c r="J977" s="58">
        <v>72105.582500000004</v>
      </c>
      <c r="K977" s="55">
        <f t="shared" si="60"/>
        <v>1.4500000000000002</v>
      </c>
      <c r="L977" s="56" t="str">
        <f t="shared" si="61"/>
        <v/>
      </c>
      <c r="M977" s="56">
        <f t="shared" si="62"/>
        <v>1.4500000000000002</v>
      </c>
      <c r="N977" s="56" t="str">
        <f t="shared" si="63"/>
        <v>OK</v>
      </c>
      <c r="O977" s="2"/>
      <c r="P977" s="27"/>
      <c r="Q977" s="2"/>
      <c r="R977" s="2"/>
    </row>
    <row r="978" spans="1:18" x14ac:dyDescent="0.35">
      <c r="A978" s="53">
        <v>9</v>
      </c>
      <c r="B978" s="53" t="s">
        <v>8</v>
      </c>
      <c r="C978" s="53" t="s">
        <v>31</v>
      </c>
      <c r="D978" s="53" t="s">
        <v>17</v>
      </c>
      <c r="E978" s="53" t="s">
        <v>27</v>
      </c>
      <c r="F978" s="54">
        <v>48823.55</v>
      </c>
      <c r="G978" s="53">
        <v>622181</v>
      </c>
      <c r="H978" s="53">
        <v>1054</v>
      </c>
      <c r="I978" s="53">
        <v>1995</v>
      </c>
      <c r="J978" s="54">
        <v>120105.933</v>
      </c>
      <c r="K978" s="55">
        <f t="shared" si="60"/>
        <v>1.46</v>
      </c>
      <c r="L978" s="56" t="str">
        <f t="shared" si="61"/>
        <v/>
      </c>
      <c r="M978" s="56">
        <f t="shared" si="62"/>
        <v>1.46</v>
      </c>
      <c r="N978" s="56" t="str">
        <f t="shared" si="63"/>
        <v>ERROR: Conversions &gt; Clicks</v>
      </c>
      <c r="O978" s="2"/>
      <c r="P978" s="27"/>
      <c r="Q978" s="2"/>
      <c r="R978" s="2"/>
    </row>
    <row r="979" spans="1:18" x14ac:dyDescent="0.35">
      <c r="A979" s="53">
        <v>111</v>
      </c>
      <c r="B979" s="53" t="s">
        <v>13</v>
      </c>
      <c r="C979" s="53" t="s">
        <v>32</v>
      </c>
      <c r="D979" s="53" t="s">
        <v>18</v>
      </c>
      <c r="E979" s="53" t="s">
        <v>27</v>
      </c>
      <c r="F979" s="54">
        <v>9740.26</v>
      </c>
      <c r="G979" s="53">
        <v>745430</v>
      </c>
      <c r="H979" s="53">
        <v>167</v>
      </c>
      <c r="I979" s="53">
        <v>1481</v>
      </c>
      <c r="J979" s="54">
        <v>23961.0396</v>
      </c>
      <c r="K979" s="55">
        <f t="shared" si="60"/>
        <v>1.46</v>
      </c>
      <c r="L979" s="56">
        <f t="shared" si="61"/>
        <v>1.46</v>
      </c>
      <c r="M979" s="56" t="str">
        <f t="shared" si="62"/>
        <v/>
      </c>
      <c r="N979" s="56" t="str">
        <f t="shared" si="63"/>
        <v>ERROR: Conversions &gt; Clicks</v>
      </c>
      <c r="O979" s="2"/>
      <c r="P979" s="27"/>
      <c r="Q979" s="2"/>
      <c r="R979" s="2"/>
    </row>
    <row r="980" spans="1:18" x14ac:dyDescent="0.35">
      <c r="A980" s="53">
        <v>507</v>
      </c>
      <c r="B980" s="53" t="s">
        <v>13</v>
      </c>
      <c r="C980" s="53" t="s">
        <v>32</v>
      </c>
      <c r="D980" s="53" t="s">
        <v>19</v>
      </c>
      <c r="E980" s="53" t="s">
        <v>28</v>
      </c>
      <c r="F980" s="54">
        <v>9094.99</v>
      </c>
      <c r="G980" s="53">
        <v>858692</v>
      </c>
      <c r="H980" s="53">
        <v>12527</v>
      </c>
      <c r="I980" s="53">
        <v>1825</v>
      </c>
      <c r="J980" s="54">
        <v>22373.6754</v>
      </c>
      <c r="K980" s="55">
        <f t="shared" si="60"/>
        <v>1.46</v>
      </c>
      <c r="L980" s="56">
        <f t="shared" si="61"/>
        <v>1.46</v>
      </c>
      <c r="M980" s="56" t="str">
        <f t="shared" si="62"/>
        <v/>
      </c>
      <c r="N980" s="56" t="str">
        <f t="shared" si="63"/>
        <v>OK</v>
      </c>
      <c r="O980" s="2"/>
      <c r="P980" s="27"/>
      <c r="Q980" s="2"/>
      <c r="R980" s="2"/>
    </row>
    <row r="981" spans="1:18" x14ac:dyDescent="0.35">
      <c r="A981" s="53">
        <v>933</v>
      </c>
      <c r="B981" s="53" t="s">
        <v>11</v>
      </c>
      <c r="C981" s="53" t="s">
        <v>32</v>
      </c>
      <c r="D981" s="53" t="s">
        <v>17</v>
      </c>
      <c r="E981" s="53" t="s">
        <v>24</v>
      </c>
      <c r="F981" s="54">
        <v>31366.99</v>
      </c>
      <c r="G981" s="53">
        <v>924051</v>
      </c>
      <c r="H981" s="53">
        <v>11771</v>
      </c>
      <c r="I981" s="53">
        <v>1759</v>
      </c>
      <c r="J981" s="54">
        <v>77476.465299999996</v>
      </c>
      <c r="K981" s="55">
        <f t="shared" si="60"/>
        <v>1.4699999999999995</v>
      </c>
      <c r="L981" s="56">
        <f t="shared" si="61"/>
        <v>1.4699999999999995</v>
      </c>
      <c r="M981" s="56" t="str">
        <f t="shared" si="62"/>
        <v/>
      </c>
      <c r="N981" s="56" t="str">
        <f t="shared" si="63"/>
        <v>OK</v>
      </c>
      <c r="O981" s="2"/>
      <c r="P981" s="27"/>
      <c r="Q981" s="2"/>
      <c r="R981" s="2"/>
    </row>
    <row r="982" spans="1:18" x14ac:dyDescent="0.35">
      <c r="A982" s="53">
        <v>143</v>
      </c>
      <c r="B982" s="53" t="s">
        <v>12</v>
      </c>
      <c r="C982" s="53" t="s">
        <v>32</v>
      </c>
      <c r="D982" s="53" t="s">
        <v>19</v>
      </c>
      <c r="E982" s="53" t="s">
        <v>25</v>
      </c>
      <c r="F982" s="54">
        <v>40266.980000000003</v>
      </c>
      <c r="G982" s="53">
        <v>448242</v>
      </c>
      <c r="H982" s="53">
        <v>7131</v>
      </c>
      <c r="I982" s="53">
        <v>55</v>
      </c>
      <c r="J982" s="54">
        <v>99459.440600000002</v>
      </c>
      <c r="K982" s="55">
        <f t="shared" si="60"/>
        <v>1.4699999999999998</v>
      </c>
      <c r="L982" s="56">
        <f t="shared" si="61"/>
        <v>1.4699999999999998</v>
      </c>
      <c r="M982" s="56" t="str">
        <f t="shared" si="62"/>
        <v/>
      </c>
      <c r="N982" s="56" t="str">
        <f t="shared" si="63"/>
        <v>OK</v>
      </c>
      <c r="O982" s="2"/>
      <c r="P982" s="27"/>
      <c r="Q982" s="2"/>
      <c r="R982" s="2"/>
    </row>
    <row r="983" spans="1:18" x14ac:dyDescent="0.35">
      <c r="A983" s="53">
        <v>919</v>
      </c>
      <c r="B983" s="53" t="s">
        <v>12</v>
      </c>
      <c r="C983" s="53" t="s">
        <v>32</v>
      </c>
      <c r="D983" s="53" t="s">
        <v>20</v>
      </c>
      <c r="E983" s="53" t="s">
        <v>29</v>
      </c>
      <c r="F983" s="54">
        <v>30561.3</v>
      </c>
      <c r="G983" s="53">
        <v>491215</v>
      </c>
      <c r="H983" s="53">
        <v>10501</v>
      </c>
      <c r="I983" s="53">
        <v>956</v>
      </c>
      <c r="J983" s="54">
        <v>75486.410999999993</v>
      </c>
      <c r="K983" s="55">
        <f t="shared" si="60"/>
        <v>1.4699999999999998</v>
      </c>
      <c r="L983" s="56">
        <f t="shared" si="61"/>
        <v>1.4699999999999998</v>
      </c>
      <c r="M983" s="56" t="str">
        <f t="shared" si="62"/>
        <v/>
      </c>
      <c r="N983" s="56" t="str">
        <f t="shared" si="63"/>
        <v>OK</v>
      </c>
      <c r="O983" s="2"/>
      <c r="P983" s="27"/>
      <c r="Q983" s="2"/>
      <c r="R983" s="2"/>
    </row>
    <row r="984" spans="1:18" x14ac:dyDescent="0.35">
      <c r="A984" s="53">
        <v>807</v>
      </c>
      <c r="B984" s="53" t="s">
        <v>13</v>
      </c>
      <c r="C984" s="53" t="s">
        <v>32</v>
      </c>
      <c r="D984" s="53" t="s">
        <v>21</v>
      </c>
      <c r="E984" s="53" t="s">
        <v>28</v>
      </c>
      <c r="F984" s="54">
        <v>7366.57</v>
      </c>
      <c r="G984" s="53">
        <v>570608</v>
      </c>
      <c r="H984" s="53">
        <v>4082</v>
      </c>
      <c r="I984" s="53">
        <v>800</v>
      </c>
      <c r="J984" s="54">
        <v>18195.427899999999</v>
      </c>
      <c r="K984" s="55">
        <f t="shared" si="60"/>
        <v>1.47</v>
      </c>
      <c r="L984" s="56">
        <f t="shared" si="61"/>
        <v>1.47</v>
      </c>
      <c r="M984" s="56" t="str">
        <f t="shared" si="62"/>
        <v/>
      </c>
      <c r="N984" s="56" t="str">
        <f t="shared" si="63"/>
        <v>OK</v>
      </c>
      <c r="O984" s="2"/>
      <c r="P984" s="27"/>
      <c r="Q984" s="2"/>
      <c r="R984" s="2"/>
    </row>
    <row r="985" spans="1:18" x14ac:dyDescent="0.35">
      <c r="A985" s="57">
        <v>412</v>
      </c>
      <c r="B985" s="57" t="s">
        <v>13</v>
      </c>
      <c r="C985" s="57" t="s">
        <v>32</v>
      </c>
      <c r="D985" s="57" t="s">
        <v>18</v>
      </c>
      <c r="E985" s="57" t="s">
        <v>29</v>
      </c>
      <c r="F985" s="58">
        <v>4348.71</v>
      </c>
      <c r="G985" s="57">
        <v>972774</v>
      </c>
      <c r="H985" s="57">
        <v>2886</v>
      </c>
      <c r="I985" s="57">
        <v>1429</v>
      </c>
      <c r="J985" s="58">
        <v>10741.313700000001</v>
      </c>
      <c r="K985" s="55">
        <f t="shared" si="60"/>
        <v>1.4700000000000002</v>
      </c>
      <c r="L985" s="56">
        <f t="shared" si="61"/>
        <v>1.4700000000000002</v>
      </c>
      <c r="M985" s="56" t="str">
        <f t="shared" si="62"/>
        <v/>
      </c>
      <c r="N985" s="56" t="str">
        <f t="shared" si="63"/>
        <v>OK</v>
      </c>
      <c r="O985" s="2"/>
      <c r="P985" s="27"/>
      <c r="Q985" s="2"/>
      <c r="R985" s="2"/>
    </row>
    <row r="986" spans="1:18" x14ac:dyDescent="0.35">
      <c r="A986" s="57">
        <v>268</v>
      </c>
      <c r="B986" s="57" t="s">
        <v>13</v>
      </c>
      <c r="C986" s="57" t="s">
        <v>32</v>
      </c>
      <c r="D986" s="57" t="s">
        <v>19</v>
      </c>
      <c r="E986" s="57" t="s">
        <v>28</v>
      </c>
      <c r="F986" s="58">
        <v>28448.93</v>
      </c>
      <c r="G986" s="57">
        <v>230357</v>
      </c>
      <c r="H986" s="57">
        <v>19700</v>
      </c>
      <c r="I986" s="57">
        <v>1064</v>
      </c>
      <c r="J986" s="58">
        <v>70553.346399999995</v>
      </c>
      <c r="K986" s="55">
        <f t="shared" si="60"/>
        <v>1.4799999999999998</v>
      </c>
      <c r="L986" s="56">
        <f t="shared" si="61"/>
        <v>1.4799999999999998</v>
      </c>
      <c r="M986" s="56" t="str">
        <f t="shared" si="62"/>
        <v/>
      </c>
      <c r="N986" s="56" t="str">
        <f t="shared" si="63"/>
        <v>OK</v>
      </c>
      <c r="O986" s="2"/>
      <c r="P986" s="27"/>
      <c r="Q986" s="2"/>
      <c r="R986" s="2"/>
    </row>
    <row r="987" spans="1:18" x14ac:dyDescent="0.35">
      <c r="A987" s="57">
        <v>630</v>
      </c>
      <c r="B987" s="57" t="s">
        <v>8</v>
      </c>
      <c r="C987" s="57" t="s">
        <v>31</v>
      </c>
      <c r="D987" s="57" t="s">
        <v>20</v>
      </c>
      <c r="E987" s="57" t="s">
        <v>24</v>
      </c>
      <c r="F987" s="58">
        <v>24416.04</v>
      </c>
      <c r="G987" s="57">
        <v>363973</v>
      </c>
      <c r="H987" s="57">
        <v>18119</v>
      </c>
      <c r="I987" s="57">
        <v>691</v>
      </c>
      <c r="J987" s="58">
        <v>60551.779199999997</v>
      </c>
      <c r="K987" s="55">
        <f t="shared" si="60"/>
        <v>1.4799999999999998</v>
      </c>
      <c r="L987" s="56" t="str">
        <f t="shared" si="61"/>
        <v/>
      </c>
      <c r="M987" s="56">
        <f t="shared" si="62"/>
        <v>1.4799999999999998</v>
      </c>
      <c r="N987" s="56" t="str">
        <f t="shared" si="63"/>
        <v>OK</v>
      </c>
      <c r="O987" s="2"/>
      <c r="P987" s="27"/>
      <c r="Q987" s="2"/>
      <c r="R987" s="2"/>
    </row>
    <row r="988" spans="1:18" x14ac:dyDescent="0.35">
      <c r="A988" s="57">
        <v>494</v>
      </c>
      <c r="B988" s="57" t="s">
        <v>10</v>
      </c>
      <c r="C988" s="57" t="s">
        <v>31</v>
      </c>
      <c r="D988" s="57" t="s">
        <v>19</v>
      </c>
      <c r="E988" s="57" t="s">
        <v>27</v>
      </c>
      <c r="F988" s="58">
        <v>3175</v>
      </c>
      <c r="G988" s="57">
        <v>711160</v>
      </c>
      <c r="H988" s="57">
        <v>19838</v>
      </c>
      <c r="I988" s="57">
        <v>241</v>
      </c>
      <c r="J988" s="58">
        <v>7874</v>
      </c>
      <c r="K988" s="55">
        <f t="shared" si="60"/>
        <v>1.48</v>
      </c>
      <c r="L988" s="56" t="str">
        <f t="shared" si="61"/>
        <v/>
      </c>
      <c r="M988" s="56">
        <f t="shared" si="62"/>
        <v>1.48</v>
      </c>
      <c r="N988" s="56" t="str">
        <f t="shared" si="63"/>
        <v>OK</v>
      </c>
      <c r="O988" s="2"/>
      <c r="P988" s="27"/>
      <c r="Q988" s="2"/>
      <c r="R988" s="2"/>
    </row>
    <row r="989" spans="1:18" x14ac:dyDescent="0.35">
      <c r="A989" s="53">
        <v>759</v>
      </c>
      <c r="B989" s="53" t="s">
        <v>11</v>
      </c>
      <c r="C989" s="53" t="s">
        <v>32</v>
      </c>
      <c r="D989" s="53" t="s">
        <v>19</v>
      </c>
      <c r="E989" s="53" t="s">
        <v>24</v>
      </c>
      <c r="F989" s="54">
        <v>15333.24</v>
      </c>
      <c r="G989" s="53">
        <v>519551</v>
      </c>
      <c r="H989" s="53">
        <v>3041</v>
      </c>
      <c r="I989" s="53">
        <v>1922</v>
      </c>
      <c r="J989" s="54">
        <v>38026.4352</v>
      </c>
      <c r="K989" s="55">
        <f t="shared" si="60"/>
        <v>1.4800000000000002</v>
      </c>
      <c r="L989" s="56">
        <f t="shared" si="61"/>
        <v>1.4800000000000002</v>
      </c>
      <c r="M989" s="56" t="str">
        <f t="shared" si="62"/>
        <v/>
      </c>
      <c r="N989" s="56" t="str">
        <f t="shared" si="63"/>
        <v>OK</v>
      </c>
      <c r="O989" s="2"/>
      <c r="P989" s="27"/>
      <c r="Q989" s="2"/>
      <c r="R989" s="2"/>
    </row>
    <row r="990" spans="1:18" x14ac:dyDescent="0.35">
      <c r="A990" s="53">
        <v>11</v>
      </c>
      <c r="B990" s="53" t="s">
        <v>9</v>
      </c>
      <c r="C990" s="53" t="s">
        <v>31</v>
      </c>
      <c r="D990" s="53" t="s">
        <v>22</v>
      </c>
      <c r="E990" s="53" t="s">
        <v>25</v>
      </c>
      <c r="F990" s="54">
        <v>1510.96</v>
      </c>
      <c r="G990" s="53">
        <v>509797</v>
      </c>
      <c r="H990" s="53">
        <v>1729</v>
      </c>
      <c r="I990" s="53">
        <v>846</v>
      </c>
      <c r="J990" s="54">
        <v>3762.2903999999999</v>
      </c>
      <c r="K990" s="55">
        <f t="shared" si="60"/>
        <v>1.4899999999999998</v>
      </c>
      <c r="L990" s="56" t="str">
        <f t="shared" si="61"/>
        <v/>
      </c>
      <c r="M990" s="56">
        <f t="shared" si="62"/>
        <v>1.4899999999999998</v>
      </c>
      <c r="N990" s="56" t="str">
        <f t="shared" si="63"/>
        <v>OK</v>
      </c>
      <c r="O990" s="2"/>
      <c r="P990" s="27"/>
      <c r="Q990" s="2"/>
      <c r="R990" s="2"/>
    </row>
    <row r="991" spans="1:18" x14ac:dyDescent="0.35">
      <c r="A991" s="57">
        <v>486</v>
      </c>
      <c r="B991" s="57" t="s">
        <v>10</v>
      </c>
      <c r="C991" s="57" t="s">
        <v>31</v>
      </c>
      <c r="D991" s="57" t="s">
        <v>18</v>
      </c>
      <c r="E991" s="57" t="s">
        <v>27</v>
      </c>
      <c r="F991" s="58">
        <v>3425.35</v>
      </c>
      <c r="G991" s="57">
        <v>699870</v>
      </c>
      <c r="H991" s="57">
        <v>11341</v>
      </c>
      <c r="I991" s="57">
        <v>1474</v>
      </c>
      <c r="J991" s="58">
        <v>8529.1214999999993</v>
      </c>
      <c r="K991" s="55">
        <f t="shared" si="60"/>
        <v>1.4899999999999998</v>
      </c>
      <c r="L991" s="56" t="str">
        <f t="shared" si="61"/>
        <v/>
      </c>
      <c r="M991" s="56">
        <f t="shared" si="62"/>
        <v>1.4899999999999998</v>
      </c>
      <c r="N991" s="56" t="str">
        <f t="shared" si="63"/>
        <v>OK</v>
      </c>
      <c r="O991" s="2"/>
      <c r="P991" s="27"/>
      <c r="Q991" s="2"/>
      <c r="R991" s="2"/>
    </row>
    <row r="992" spans="1:18" x14ac:dyDescent="0.35">
      <c r="A992" s="53">
        <v>579</v>
      </c>
      <c r="B992" s="53" t="s">
        <v>14</v>
      </c>
      <c r="C992" s="53" t="s">
        <v>32</v>
      </c>
      <c r="D992" s="53" t="s">
        <v>21</v>
      </c>
      <c r="E992" s="53" t="s">
        <v>24</v>
      </c>
      <c r="F992" s="54">
        <v>20255.740000000002</v>
      </c>
      <c r="G992" s="53">
        <v>70128</v>
      </c>
      <c r="H992" s="53">
        <v>11554</v>
      </c>
      <c r="I992" s="53">
        <v>1671</v>
      </c>
      <c r="J992" s="54">
        <v>50436.792600000001</v>
      </c>
      <c r="K992" s="55">
        <f t="shared" si="60"/>
        <v>1.4899999999999998</v>
      </c>
      <c r="L992" s="56">
        <f t="shared" si="61"/>
        <v>1.4899999999999998</v>
      </c>
      <c r="M992" s="56" t="str">
        <f t="shared" si="62"/>
        <v/>
      </c>
      <c r="N992" s="56" t="str">
        <f t="shared" si="63"/>
        <v>OK</v>
      </c>
      <c r="O992" s="2"/>
      <c r="P992" s="27"/>
      <c r="Q992" s="2"/>
      <c r="R992" s="2"/>
    </row>
    <row r="993" spans="1:18" x14ac:dyDescent="0.35">
      <c r="A993" s="57">
        <v>798</v>
      </c>
      <c r="B993" s="57" t="s">
        <v>8</v>
      </c>
      <c r="C993" s="57" t="s">
        <v>31</v>
      </c>
      <c r="D993" s="57" t="s">
        <v>20</v>
      </c>
      <c r="E993" s="57" t="s">
        <v>24</v>
      </c>
      <c r="F993" s="58">
        <v>30080.799999999999</v>
      </c>
      <c r="G993" s="57">
        <v>317086</v>
      </c>
      <c r="H993" s="57">
        <v>4915</v>
      </c>
      <c r="I993" s="57">
        <v>1107</v>
      </c>
      <c r="J993" s="58">
        <v>74901.191999999995</v>
      </c>
      <c r="K993" s="55">
        <f t="shared" si="60"/>
        <v>1.4899999999999998</v>
      </c>
      <c r="L993" s="56" t="str">
        <f t="shared" si="61"/>
        <v/>
      </c>
      <c r="M993" s="56">
        <f t="shared" si="62"/>
        <v>1.4899999999999998</v>
      </c>
      <c r="N993" s="56" t="str">
        <f t="shared" si="63"/>
        <v>OK</v>
      </c>
      <c r="O993" s="2"/>
      <c r="P993" s="27"/>
      <c r="Q993" s="2"/>
      <c r="R993" s="2"/>
    </row>
    <row r="994" spans="1:18" x14ac:dyDescent="0.35">
      <c r="A994" s="53">
        <v>101</v>
      </c>
      <c r="B994" s="53" t="s">
        <v>8</v>
      </c>
      <c r="C994" s="53" t="s">
        <v>31</v>
      </c>
      <c r="D994" s="53" t="s">
        <v>20</v>
      </c>
      <c r="E994" s="53" t="s">
        <v>29</v>
      </c>
      <c r="F994" s="54">
        <v>24045.63</v>
      </c>
      <c r="G994" s="53">
        <v>399770</v>
      </c>
      <c r="H994" s="53">
        <v>1019</v>
      </c>
      <c r="I994" s="53">
        <v>448</v>
      </c>
      <c r="J994" s="54">
        <v>59873.618699999999</v>
      </c>
      <c r="K994" s="55">
        <f t="shared" si="60"/>
        <v>1.49</v>
      </c>
      <c r="L994" s="56" t="str">
        <f t="shared" si="61"/>
        <v/>
      </c>
      <c r="M994" s="56">
        <f t="shared" si="62"/>
        <v>1.49</v>
      </c>
      <c r="N994" s="56" t="str">
        <f t="shared" si="63"/>
        <v>OK</v>
      </c>
      <c r="O994" s="2"/>
      <c r="P994" s="27"/>
      <c r="Q994" s="2"/>
      <c r="R994" s="2"/>
    </row>
    <row r="995" spans="1:18" x14ac:dyDescent="0.35">
      <c r="A995" s="57">
        <v>118</v>
      </c>
      <c r="B995" s="57" t="s">
        <v>10</v>
      </c>
      <c r="C995" s="57" t="s">
        <v>31</v>
      </c>
      <c r="D995" s="57" t="s">
        <v>18</v>
      </c>
      <c r="E995" s="57" t="s">
        <v>27</v>
      </c>
      <c r="F995" s="58">
        <v>25995.38</v>
      </c>
      <c r="G995" s="57">
        <v>71844</v>
      </c>
      <c r="H995" s="57">
        <v>672</v>
      </c>
      <c r="I995" s="57">
        <v>1253</v>
      </c>
      <c r="J995" s="58">
        <v>64728.496200000001</v>
      </c>
      <c r="K995" s="55">
        <f t="shared" si="60"/>
        <v>1.49</v>
      </c>
      <c r="L995" s="56" t="str">
        <f t="shared" si="61"/>
        <v/>
      </c>
      <c r="M995" s="56">
        <f t="shared" si="62"/>
        <v>1.49</v>
      </c>
      <c r="N995" s="56" t="str">
        <f t="shared" si="63"/>
        <v>ERROR: Conversions &gt; Clicks</v>
      </c>
      <c r="O995" s="2"/>
      <c r="P995" s="27"/>
      <c r="Q995" s="2"/>
      <c r="R995" s="2"/>
    </row>
    <row r="996" spans="1:18" x14ac:dyDescent="0.35">
      <c r="A996" s="53">
        <v>969</v>
      </c>
      <c r="B996" s="53" t="s">
        <v>10</v>
      </c>
      <c r="C996" s="53" t="s">
        <v>31</v>
      </c>
      <c r="D996" s="53" t="s">
        <v>17</v>
      </c>
      <c r="E996" s="53" t="s">
        <v>26</v>
      </c>
      <c r="F996" s="54">
        <v>24585.34</v>
      </c>
      <c r="G996" s="53">
        <v>808009</v>
      </c>
      <c r="H996" s="53">
        <v>2114</v>
      </c>
      <c r="I996" s="53">
        <v>1732</v>
      </c>
      <c r="J996" s="54">
        <v>61217.496599999999</v>
      </c>
      <c r="K996" s="55">
        <f t="shared" si="60"/>
        <v>1.49</v>
      </c>
      <c r="L996" s="56" t="str">
        <f t="shared" si="61"/>
        <v/>
      </c>
      <c r="M996" s="56">
        <f t="shared" si="62"/>
        <v>1.49</v>
      </c>
      <c r="N996" s="56" t="str">
        <f t="shared" si="63"/>
        <v>OK</v>
      </c>
      <c r="O996" s="2"/>
      <c r="P996" s="27"/>
      <c r="Q996" s="2"/>
      <c r="R996" s="2"/>
    </row>
    <row r="997" spans="1:18" x14ac:dyDescent="0.35">
      <c r="A997" s="53">
        <v>433</v>
      </c>
      <c r="B997" s="53" t="s">
        <v>15</v>
      </c>
      <c r="C997" s="53" t="s">
        <v>32</v>
      </c>
      <c r="D997" s="53" t="s">
        <v>21</v>
      </c>
      <c r="E997" s="53" t="s">
        <v>24</v>
      </c>
      <c r="F997" s="54">
        <v>14121.06</v>
      </c>
      <c r="G997" s="53">
        <v>413777</v>
      </c>
      <c r="H997" s="53">
        <v>4585</v>
      </c>
      <c r="I997" s="53">
        <v>1228</v>
      </c>
      <c r="J997" s="54">
        <v>35161.439400000003</v>
      </c>
      <c r="K997" s="55">
        <f t="shared" si="60"/>
        <v>1.4900000000000004</v>
      </c>
      <c r="L997" s="56">
        <f t="shared" si="61"/>
        <v>1.4900000000000004</v>
      </c>
      <c r="M997" s="56" t="str">
        <f t="shared" si="62"/>
        <v/>
      </c>
      <c r="N997" s="56" t="str">
        <f t="shared" si="63"/>
        <v>OK</v>
      </c>
      <c r="O997" s="2"/>
      <c r="P997" s="27"/>
      <c r="Q997" s="2"/>
      <c r="R997" s="2"/>
    </row>
    <row r="998" spans="1:18" x14ac:dyDescent="0.35">
      <c r="A998" s="53">
        <v>857</v>
      </c>
      <c r="B998" s="53" t="s">
        <v>9</v>
      </c>
      <c r="C998" s="53" t="s">
        <v>31</v>
      </c>
      <c r="D998" s="53" t="s">
        <v>18</v>
      </c>
      <c r="E998" s="53" t="s">
        <v>24</v>
      </c>
      <c r="F998" s="54">
        <v>46609.56</v>
      </c>
      <c r="G998" s="53">
        <v>46468</v>
      </c>
      <c r="H998" s="53">
        <v>10168</v>
      </c>
      <c r="I998" s="53">
        <v>333</v>
      </c>
      <c r="J998" s="54">
        <v>116523.9</v>
      </c>
      <c r="K998" s="55">
        <f t="shared" si="60"/>
        <v>1.5</v>
      </c>
      <c r="L998" s="56" t="str">
        <f t="shared" si="61"/>
        <v/>
      </c>
      <c r="M998" s="56">
        <f t="shared" si="62"/>
        <v>1.5</v>
      </c>
      <c r="N998" s="56" t="str">
        <f t="shared" si="63"/>
        <v>OK</v>
      </c>
      <c r="O998" s="2"/>
      <c r="P998" s="27"/>
      <c r="Q998" s="2"/>
      <c r="R998" s="2"/>
    </row>
    <row r="999" spans="1:18" x14ac:dyDescent="0.35">
      <c r="A999" s="57">
        <v>966</v>
      </c>
      <c r="B999" s="57" t="s">
        <v>11</v>
      </c>
      <c r="C999" s="57" t="s">
        <v>32</v>
      </c>
      <c r="D999" s="57" t="s">
        <v>19</v>
      </c>
      <c r="E999" s="57" t="s">
        <v>25</v>
      </c>
      <c r="F999" s="58">
        <v>23471.3</v>
      </c>
      <c r="G999" s="57">
        <v>462413</v>
      </c>
      <c r="H999" s="57">
        <v>5160</v>
      </c>
      <c r="I999" s="57">
        <v>584</v>
      </c>
      <c r="J999" s="58">
        <v>58678.25</v>
      </c>
      <c r="K999" s="55">
        <f t="shared" si="60"/>
        <v>1.5</v>
      </c>
      <c r="L999" s="56">
        <f t="shared" si="61"/>
        <v>1.5</v>
      </c>
      <c r="M999" s="56" t="str">
        <f t="shared" si="62"/>
        <v/>
      </c>
      <c r="N999" s="56" t="str">
        <f t="shared" si="63"/>
        <v>OK</v>
      </c>
      <c r="O999" s="2"/>
      <c r="P999" s="27"/>
      <c r="Q999" s="2"/>
      <c r="R999" s="2"/>
    </row>
    <row r="1000" spans="1:18" x14ac:dyDescent="0.35">
      <c r="A1000" s="57">
        <v>518</v>
      </c>
      <c r="B1000" s="57" t="s">
        <v>10</v>
      </c>
      <c r="C1000" s="57" t="s">
        <v>31</v>
      </c>
      <c r="D1000" s="57" t="s">
        <v>21</v>
      </c>
      <c r="E1000" s="57" t="s">
        <v>25</v>
      </c>
      <c r="F1000" s="58">
        <v>43281.14</v>
      </c>
      <c r="G1000" s="57">
        <v>94381</v>
      </c>
      <c r="H1000" s="57">
        <v>13880</v>
      </c>
      <c r="I1000" s="57">
        <v>376</v>
      </c>
      <c r="J1000" s="58">
        <v>108202.85</v>
      </c>
      <c r="K1000" s="55">
        <f t="shared" si="60"/>
        <v>1.5000000000000002</v>
      </c>
      <c r="L1000" s="56" t="str">
        <f t="shared" si="61"/>
        <v/>
      </c>
      <c r="M1000" s="56">
        <f t="shared" si="62"/>
        <v>1.5000000000000002</v>
      </c>
      <c r="N1000" s="56" t="str">
        <f t="shared" si="63"/>
        <v>OK</v>
      </c>
      <c r="O1000" s="2"/>
      <c r="P1000" s="27"/>
      <c r="Q1000" s="2"/>
      <c r="R1000" s="2"/>
    </row>
    <row r="1001" spans="1:18" x14ac:dyDescent="0.35">
      <c r="A1001" s="59">
        <v>890</v>
      </c>
      <c r="B1001" s="59" t="s">
        <v>11</v>
      </c>
      <c r="C1001" s="59" t="s">
        <v>32</v>
      </c>
      <c r="D1001" s="59" t="s">
        <v>20</v>
      </c>
      <c r="E1001" s="59" t="s">
        <v>27</v>
      </c>
      <c r="F1001" s="60">
        <v>11770.46</v>
      </c>
      <c r="G1001" s="59">
        <v>571693</v>
      </c>
      <c r="H1001" s="59">
        <v>7598</v>
      </c>
      <c r="I1001" s="59">
        <v>1188</v>
      </c>
      <c r="J1001" s="60">
        <v>29426.15</v>
      </c>
      <c r="K1001" s="55">
        <f t="shared" si="60"/>
        <v>1.5000000000000002</v>
      </c>
      <c r="L1001" s="56">
        <f t="shared" si="61"/>
        <v>1.5000000000000002</v>
      </c>
      <c r="M1001" s="56" t="str">
        <f t="shared" si="62"/>
        <v/>
      </c>
      <c r="N1001" s="56" t="str">
        <f t="shared" si="63"/>
        <v>OK</v>
      </c>
      <c r="O1001" s="2"/>
      <c r="P1001" s="27"/>
      <c r="Q1001" s="2"/>
      <c r="R1001" s="2"/>
    </row>
  </sheetData>
  <sortState xmlns:xlrd2="http://schemas.microsoft.com/office/spreadsheetml/2017/richdata2" ref="A2:M1002">
    <sortCondition ref="A1:A1002"/>
  </sortState>
  <mergeCells count="1">
    <mergeCell ref="S14:T14"/>
  </mergeCells>
  <conditionalFormatting sqref="K1:K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00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21AC-D2E5-40C8-BEB1-2059BEC79005}">
  <dimension ref="A1:C13"/>
  <sheetViews>
    <sheetView workbookViewId="0">
      <selection activeCell="G10" sqref="G10"/>
    </sheetView>
  </sheetViews>
  <sheetFormatPr defaultRowHeight="14.5" x14ac:dyDescent="0.35"/>
  <cols>
    <col min="1" max="1" width="29.1796875" customWidth="1"/>
    <col min="2" max="2" width="12.6328125" customWidth="1"/>
    <col min="3" max="3" width="16.453125" customWidth="1"/>
  </cols>
  <sheetData>
    <row r="1" spans="1:3" x14ac:dyDescent="0.35">
      <c r="A1" t="s">
        <v>47</v>
      </c>
    </row>
    <row r="2" spans="1:3" ht="15" thickBot="1" x14ac:dyDescent="0.4"/>
    <row r="3" spans="1:3" x14ac:dyDescent="0.35">
      <c r="A3" s="42"/>
      <c r="B3" s="42" t="s">
        <v>58</v>
      </c>
      <c r="C3" s="42" t="s">
        <v>59</v>
      </c>
    </row>
    <row r="4" spans="1:3" x14ac:dyDescent="0.35">
      <c r="A4" t="s">
        <v>48</v>
      </c>
      <c r="B4" s="21">
        <v>0.62120610687022904</v>
      </c>
      <c r="C4" s="21">
        <v>0.69295652173913069</v>
      </c>
    </row>
    <row r="5" spans="1:3" x14ac:dyDescent="0.35">
      <c r="A5" t="s">
        <v>49</v>
      </c>
      <c r="B5" s="43">
        <v>0.2350641394121902</v>
      </c>
      <c r="C5" s="43">
        <v>0.23374007077856421</v>
      </c>
    </row>
    <row r="6" spans="1:3" x14ac:dyDescent="0.35">
      <c r="A6" t="s">
        <v>50</v>
      </c>
      <c r="B6">
        <v>655</v>
      </c>
      <c r="C6">
        <v>345</v>
      </c>
    </row>
    <row r="7" spans="1:3" x14ac:dyDescent="0.35">
      <c r="A7" t="s">
        <v>51</v>
      </c>
      <c r="B7">
        <v>0</v>
      </c>
    </row>
    <row r="8" spans="1:3" x14ac:dyDescent="0.35">
      <c r="A8" t="s">
        <v>52</v>
      </c>
      <c r="B8">
        <v>701</v>
      </c>
    </row>
    <row r="9" spans="1:3" x14ac:dyDescent="0.35">
      <c r="A9" t="s">
        <v>53</v>
      </c>
      <c r="B9" s="2">
        <v>-2.2287639101039463</v>
      </c>
    </row>
    <row r="10" spans="1:3" x14ac:dyDescent="0.35">
      <c r="A10" t="s">
        <v>54</v>
      </c>
      <c r="B10" s="21">
        <v>1.3072950017227409E-2</v>
      </c>
    </row>
    <row r="11" spans="1:3" x14ac:dyDescent="0.35">
      <c r="A11" t="s">
        <v>55</v>
      </c>
      <c r="B11" s="2">
        <v>1.6470302276881426</v>
      </c>
    </row>
    <row r="12" spans="1:3" x14ac:dyDescent="0.35">
      <c r="A12" s="40" t="s">
        <v>56</v>
      </c>
      <c r="B12" s="45">
        <v>2.61459000344548E-2</v>
      </c>
    </row>
    <row r="13" spans="1:3" ht="15" thickBot="1" x14ac:dyDescent="0.4">
      <c r="A13" s="41" t="s">
        <v>57</v>
      </c>
      <c r="B13" s="44">
        <v>1.9633538601819416</v>
      </c>
      <c r="C13" s="4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B93A-C67A-4B4B-8657-8B416C974077}">
  <dimension ref="A1:B1033"/>
  <sheetViews>
    <sheetView topLeftCell="A2" workbookViewId="0"/>
  </sheetViews>
  <sheetFormatPr defaultRowHeight="14.5" x14ac:dyDescent="0.35"/>
  <cols>
    <col min="1" max="2" width="16" style="21" customWidth="1"/>
  </cols>
  <sheetData>
    <row r="1" spans="1:2" x14ac:dyDescent="0.35">
      <c r="A1" s="37" t="s">
        <v>58</v>
      </c>
      <c r="B1" s="38" t="s">
        <v>59</v>
      </c>
    </row>
    <row r="2" spans="1:2" x14ac:dyDescent="0.35">
      <c r="A2" cm="1">
        <f t="array" ref="A2">IFERROR(INDEX('Row Level Master Sheet'!$K$2:$K$1001,_xlfn.AGGREGATE(15,6,(ROW('Row Level Master Sheet'!$K$2:$K$1001)-ROW('Row Level Master Sheet'!$K$2)+1)/('Row Level Master Sheet'!$C$2:$C$1001="Digital"),ROWS($A$2:A2))),"")</f>
        <v>-0.20000000000000004</v>
      </c>
      <c r="B2" s="39" cm="1">
        <f t="array" ref="B2">IFERROR(INDEX('Row Level Master Sheet'!$K$2:$K$1001,_xlfn.AGGREGATE(15,6,(ROW('Row Level Master Sheet'!$K$2:$K$1001)-ROW('Row Level Master Sheet'!$K$2)+1)/('Row Level Master Sheet'!$C$2:$C$1001="Traditional"),ROWS($B$2:B2))),"")</f>
        <v>-0.2</v>
      </c>
    </row>
    <row r="3" spans="1:2" x14ac:dyDescent="0.35">
      <c r="A3" cm="1">
        <f t="array" ref="A3">IFERROR(INDEX('Row Level Master Sheet'!$K$2:$K$1001,_xlfn.AGGREGATE(15,6,(ROW('Row Level Master Sheet'!$K$2:$K$1001)-ROW('Row Level Master Sheet'!$K$2)+1)/('Row Level Master Sheet'!$C$2:$C$1001="Digital"),ROWS($A$2:A3))),"")</f>
        <v>-0.19999999999999996</v>
      </c>
      <c r="B3" s="39" cm="1">
        <f t="array" ref="B3">IFERROR(INDEX('Row Level Master Sheet'!$K$2:$K$1001,_xlfn.AGGREGATE(15,6,(ROW('Row Level Master Sheet'!$K$2:$K$1001)-ROW('Row Level Master Sheet'!$K$2)+1)/('Row Level Master Sheet'!$C$2:$C$1001="Traditional"),ROWS($B$2:B3))),"")</f>
        <v>-0.19000000000000006</v>
      </c>
    </row>
    <row r="4" spans="1:2" x14ac:dyDescent="0.35">
      <c r="A4" cm="1">
        <f t="array" ref="A4">IFERROR(INDEX('Row Level Master Sheet'!$K$2:$K$1001,_xlfn.AGGREGATE(15,6,(ROW('Row Level Master Sheet'!$K$2:$K$1001)-ROW('Row Level Master Sheet'!$K$2)+1)/('Row Level Master Sheet'!$C$2:$C$1001="Digital"),ROWS($A$2:A4))),"")</f>
        <v>-0.19</v>
      </c>
      <c r="B4" s="39" cm="1">
        <f t="array" ref="B4">IFERROR(INDEX('Row Level Master Sheet'!$K$2:$K$1001,_xlfn.AGGREGATE(15,6,(ROW('Row Level Master Sheet'!$K$2:$K$1001)-ROW('Row Level Master Sheet'!$K$2)+1)/('Row Level Master Sheet'!$C$2:$C$1001="Traditional"),ROWS($B$2:B4))),"")</f>
        <v>-0.18999999999999986</v>
      </c>
    </row>
    <row r="5" spans="1:2" x14ac:dyDescent="0.35">
      <c r="A5" cm="1">
        <f t="array" ref="A5">IFERROR(INDEX('Row Level Master Sheet'!$K$2:$K$1001,_xlfn.AGGREGATE(15,6,(ROW('Row Level Master Sheet'!$K$2:$K$1001)-ROW('Row Level Master Sheet'!$K$2)+1)/('Row Level Master Sheet'!$C$2:$C$1001="Digital"),ROWS($A$2:A5))),"")</f>
        <v>-0.18999999999999997</v>
      </c>
      <c r="B5" s="39" cm="1">
        <f t="array" ref="B5">IFERROR(INDEX('Row Level Master Sheet'!$K$2:$K$1001,_xlfn.AGGREGATE(15,6,(ROW('Row Level Master Sheet'!$K$2:$K$1001)-ROW('Row Level Master Sheet'!$K$2)+1)/('Row Level Master Sheet'!$C$2:$C$1001="Traditional"),ROWS($B$2:B5))),"")</f>
        <v>-0.18000000000000002</v>
      </c>
    </row>
    <row r="6" spans="1:2" x14ac:dyDescent="0.35">
      <c r="A6" cm="1">
        <f t="array" ref="A6">IFERROR(INDEX('Row Level Master Sheet'!$K$2:$K$1001,_xlfn.AGGREGATE(15,6,(ROW('Row Level Master Sheet'!$K$2:$K$1001)-ROW('Row Level Master Sheet'!$K$2)+1)/('Row Level Master Sheet'!$C$2:$C$1001="Digital"),ROWS($A$2:A6))),"")</f>
        <v>-0.18999999999999995</v>
      </c>
      <c r="B6" s="39" cm="1">
        <f t="array" ref="B6">IFERROR(INDEX('Row Level Master Sheet'!$K$2:$K$1001,_xlfn.AGGREGATE(15,6,(ROW('Row Level Master Sheet'!$K$2:$K$1001)-ROW('Row Level Master Sheet'!$K$2)+1)/('Row Level Master Sheet'!$C$2:$C$1001="Traditional"),ROWS($B$2:B6))),"")</f>
        <v>-0.17999999999999994</v>
      </c>
    </row>
    <row r="7" spans="1:2" x14ac:dyDescent="0.35">
      <c r="A7" cm="1">
        <f t="array" ref="A7">IFERROR(INDEX('Row Level Master Sheet'!$K$2:$K$1001,_xlfn.AGGREGATE(15,6,(ROW('Row Level Master Sheet'!$K$2:$K$1001)-ROW('Row Level Master Sheet'!$K$2)+1)/('Row Level Master Sheet'!$C$2:$C$1001="Digital"),ROWS($A$2:A7))),"")</f>
        <v>-0.18999999999999995</v>
      </c>
      <c r="B7" s="39" cm="1">
        <f t="array" ref="B7">IFERROR(INDEX('Row Level Master Sheet'!$K$2:$K$1001,_xlfn.AGGREGATE(15,6,(ROW('Row Level Master Sheet'!$K$2:$K$1001)-ROW('Row Level Master Sheet'!$K$2)+1)/('Row Level Master Sheet'!$C$2:$C$1001="Traditional"),ROWS($B$2:B7))),"")</f>
        <v>-0.17000000000000007</v>
      </c>
    </row>
    <row r="8" spans="1:2" x14ac:dyDescent="0.35">
      <c r="A8" cm="1">
        <f t="array" ref="A8">IFERROR(INDEX('Row Level Master Sheet'!$K$2:$K$1001,_xlfn.AGGREGATE(15,6,(ROW('Row Level Master Sheet'!$K$2:$K$1001)-ROW('Row Level Master Sheet'!$K$2)+1)/('Row Level Master Sheet'!$C$2:$C$1001="Digital"),ROWS($A$2:A8))),"")</f>
        <v>-0.18000000000000002</v>
      </c>
      <c r="B8" s="39" cm="1">
        <f t="array" ref="B8">IFERROR(INDEX('Row Level Master Sheet'!$K$2:$K$1001,_xlfn.AGGREGATE(15,6,(ROW('Row Level Master Sheet'!$K$2:$K$1001)-ROW('Row Level Master Sheet'!$K$2)+1)/('Row Level Master Sheet'!$C$2:$C$1001="Traditional"),ROWS($B$2:B8))),"")</f>
        <v>-0.16000000000000011</v>
      </c>
    </row>
    <row r="9" spans="1:2" x14ac:dyDescent="0.35">
      <c r="A9" cm="1">
        <f t="array" ref="A9">IFERROR(INDEX('Row Level Master Sheet'!$K$2:$K$1001,_xlfn.AGGREGATE(15,6,(ROW('Row Level Master Sheet'!$K$2:$K$1001)-ROW('Row Level Master Sheet'!$K$2)+1)/('Row Level Master Sheet'!$C$2:$C$1001="Digital"),ROWS($A$2:A9))),"")</f>
        <v>-0.18</v>
      </c>
      <c r="B9" s="39" cm="1">
        <f t="array" ref="B9">IFERROR(INDEX('Row Level Master Sheet'!$K$2:$K$1001,_xlfn.AGGREGATE(15,6,(ROW('Row Level Master Sheet'!$K$2:$K$1001)-ROW('Row Level Master Sheet'!$K$2)+1)/('Row Level Master Sheet'!$C$2:$C$1001="Traditional"),ROWS($B$2:B9))),"")</f>
        <v>-0.15999999999999998</v>
      </c>
    </row>
    <row r="10" spans="1:2" x14ac:dyDescent="0.35">
      <c r="A10" cm="1">
        <f t="array" ref="A10">IFERROR(INDEX('Row Level Master Sheet'!$K$2:$K$1001,_xlfn.AGGREGATE(15,6,(ROW('Row Level Master Sheet'!$K$2:$K$1001)-ROW('Row Level Master Sheet'!$K$2)+1)/('Row Level Master Sheet'!$C$2:$C$1001="Digital"),ROWS($A$2:A10))),"")</f>
        <v>-0.17999999999999997</v>
      </c>
      <c r="B10" s="39" cm="1">
        <f t="array" ref="B10">IFERROR(INDEX('Row Level Master Sheet'!$K$2:$K$1001,_xlfn.AGGREGATE(15,6,(ROW('Row Level Master Sheet'!$K$2:$K$1001)-ROW('Row Level Master Sheet'!$K$2)+1)/('Row Level Master Sheet'!$C$2:$C$1001="Traditional"),ROWS($B$2:B10))),"")</f>
        <v>-0.14999999999999997</v>
      </c>
    </row>
    <row r="11" spans="1:2" x14ac:dyDescent="0.35">
      <c r="A11" cm="1">
        <f t="array" ref="A11">IFERROR(INDEX('Row Level Master Sheet'!$K$2:$K$1001,_xlfn.AGGREGATE(15,6,(ROW('Row Level Master Sheet'!$K$2:$K$1001)-ROW('Row Level Master Sheet'!$K$2)+1)/('Row Level Master Sheet'!$C$2:$C$1001="Digital"),ROWS($A$2:A11))),"")</f>
        <v>-0.17999999999999991</v>
      </c>
      <c r="B11" s="39" cm="1">
        <f t="array" ref="B11">IFERROR(INDEX('Row Level Master Sheet'!$K$2:$K$1001,_xlfn.AGGREGATE(15,6,(ROW('Row Level Master Sheet'!$K$2:$K$1001)-ROW('Row Level Master Sheet'!$K$2)+1)/('Row Level Master Sheet'!$C$2:$C$1001="Traditional"),ROWS($B$2:B11))),"")</f>
        <v>-0.14000000000000004</v>
      </c>
    </row>
    <row r="12" spans="1:2" x14ac:dyDescent="0.35">
      <c r="A12" cm="1">
        <f t="array" ref="A12">IFERROR(INDEX('Row Level Master Sheet'!$K$2:$K$1001,_xlfn.AGGREGATE(15,6,(ROW('Row Level Master Sheet'!$K$2:$K$1001)-ROW('Row Level Master Sheet'!$K$2)+1)/('Row Level Master Sheet'!$C$2:$C$1001="Digital"),ROWS($A$2:A12))),"")</f>
        <v>-0.17000000000000007</v>
      </c>
      <c r="B12" s="39" cm="1">
        <f t="array" ref="B12">IFERROR(INDEX('Row Level Master Sheet'!$K$2:$K$1001,_xlfn.AGGREGATE(15,6,(ROW('Row Level Master Sheet'!$K$2:$K$1001)-ROW('Row Level Master Sheet'!$K$2)+1)/('Row Level Master Sheet'!$C$2:$C$1001="Traditional"),ROWS($B$2:B12))),"")</f>
        <v>-0.14000000000000004</v>
      </c>
    </row>
    <row r="13" spans="1:2" x14ac:dyDescent="0.35">
      <c r="A13" cm="1">
        <f t="array" ref="A13">IFERROR(INDEX('Row Level Master Sheet'!$K$2:$K$1001,_xlfn.AGGREGATE(15,6,(ROW('Row Level Master Sheet'!$K$2:$K$1001)-ROW('Row Level Master Sheet'!$K$2)+1)/('Row Level Master Sheet'!$C$2:$C$1001="Digital"),ROWS($A$2:A13))),"")</f>
        <v>-0.17</v>
      </c>
      <c r="B13" s="39" cm="1">
        <f t="array" ref="B13">IFERROR(INDEX('Row Level Master Sheet'!$K$2:$K$1001,_xlfn.AGGREGATE(15,6,(ROW('Row Level Master Sheet'!$K$2:$K$1001)-ROW('Row Level Master Sheet'!$K$2)+1)/('Row Level Master Sheet'!$C$2:$C$1001="Traditional"),ROWS($B$2:B13))),"")</f>
        <v>-0.1399999999999999</v>
      </c>
    </row>
    <row r="14" spans="1:2" x14ac:dyDescent="0.35">
      <c r="A14" cm="1">
        <f t="array" ref="A14">IFERROR(INDEX('Row Level Master Sheet'!$K$2:$K$1001,_xlfn.AGGREGATE(15,6,(ROW('Row Level Master Sheet'!$K$2:$K$1001)-ROW('Row Level Master Sheet'!$K$2)+1)/('Row Level Master Sheet'!$C$2:$C$1001="Digital"),ROWS($A$2:A14))),"")</f>
        <v>-0.17</v>
      </c>
      <c r="B14" s="39" cm="1">
        <f t="array" ref="B14">IFERROR(INDEX('Row Level Master Sheet'!$K$2:$K$1001,_xlfn.AGGREGATE(15,6,(ROW('Row Level Master Sheet'!$K$2:$K$1001)-ROW('Row Level Master Sheet'!$K$2)+1)/('Row Level Master Sheet'!$C$2:$C$1001="Traditional"),ROWS($B$2:B14))),"")</f>
        <v>-0.13000000000000003</v>
      </c>
    </row>
    <row r="15" spans="1:2" x14ac:dyDescent="0.35">
      <c r="A15" cm="1">
        <f t="array" ref="A15">IFERROR(INDEX('Row Level Master Sheet'!$K$2:$K$1001,_xlfn.AGGREGATE(15,6,(ROW('Row Level Master Sheet'!$K$2:$K$1001)-ROW('Row Level Master Sheet'!$K$2)+1)/('Row Level Master Sheet'!$C$2:$C$1001="Digital"),ROWS($A$2:A15))),"")</f>
        <v>-0.16999999999999998</v>
      </c>
      <c r="B15" s="39" cm="1">
        <f t="array" ref="B15">IFERROR(INDEX('Row Level Master Sheet'!$K$2:$K$1001,_xlfn.AGGREGATE(15,6,(ROW('Row Level Master Sheet'!$K$2:$K$1001)-ROW('Row Level Master Sheet'!$K$2)+1)/('Row Level Master Sheet'!$C$2:$C$1001="Traditional"),ROWS($B$2:B15))),"")</f>
        <v>-0.12000000000000005</v>
      </c>
    </row>
    <row r="16" spans="1:2" x14ac:dyDescent="0.35">
      <c r="A16" cm="1">
        <f t="array" ref="A16">IFERROR(INDEX('Row Level Master Sheet'!$K$2:$K$1001,_xlfn.AGGREGATE(15,6,(ROW('Row Level Master Sheet'!$K$2:$K$1001)-ROW('Row Level Master Sheet'!$K$2)+1)/('Row Level Master Sheet'!$C$2:$C$1001="Digital"),ROWS($A$2:A16))),"")</f>
        <v>-0.16000000000000003</v>
      </c>
      <c r="B16" s="39" cm="1">
        <f t="array" ref="B16">IFERROR(INDEX('Row Level Master Sheet'!$K$2:$K$1001,_xlfn.AGGREGATE(15,6,(ROW('Row Level Master Sheet'!$K$2:$K$1001)-ROW('Row Level Master Sheet'!$K$2)+1)/('Row Level Master Sheet'!$C$2:$C$1001="Traditional"),ROWS($B$2:B16))),"")</f>
        <v>-0.11999999999999998</v>
      </c>
    </row>
    <row r="17" spans="1:2" x14ac:dyDescent="0.35">
      <c r="A17" cm="1">
        <f t="array" ref="A17">IFERROR(INDEX('Row Level Master Sheet'!$K$2:$K$1001,_xlfn.AGGREGATE(15,6,(ROW('Row Level Master Sheet'!$K$2:$K$1001)-ROW('Row Level Master Sheet'!$K$2)+1)/('Row Level Master Sheet'!$C$2:$C$1001="Digital"),ROWS($A$2:A17))),"")</f>
        <v>-0.15999999999999995</v>
      </c>
      <c r="B17" s="39" cm="1">
        <f t="array" ref="B17">IFERROR(INDEX('Row Level Master Sheet'!$K$2:$K$1001,_xlfn.AGGREGATE(15,6,(ROW('Row Level Master Sheet'!$K$2:$K$1001)-ROW('Row Level Master Sheet'!$K$2)+1)/('Row Level Master Sheet'!$C$2:$C$1001="Traditional"),ROWS($B$2:B17))),"")</f>
        <v>-0.11000000000000011</v>
      </c>
    </row>
    <row r="18" spans="1:2" x14ac:dyDescent="0.35">
      <c r="A18" cm="1">
        <f t="array" ref="A18">IFERROR(INDEX('Row Level Master Sheet'!$K$2:$K$1001,_xlfn.AGGREGATE(15,6,(ROW('Row Level Master Sheet'!$K$2:$K$1001)-ROW('Row Level Master Sheet'!$K$2)+1)/('Row Level Master Sheet'!$C$2:$C$1001="Digital"),ROWS($A$2:A18))),"")</f>
        <v>-0.15999999999999995</v>
      </c>
      <c r="B18" s="39" cm="1">
        <f t="array" ref="B18">IFERROR(INDEX('Row Level Master Sheet'!$K$2:$K$1001,_xlfn.AGGREGATE(15,6,(ROW('Row Level Master Sheet'!$K$2:$K$1001)-ROW('Row Level Master Sheet'!$K$2)+1)/('Row Level Master Sheet'!$C$2:$C$1001="Traditional"),ROWS($B$2:B18))),"")</f>
        <v>-0.10999999999999999</v>
      </c>
    </row>
    <row r="19" spans="1:2" x14ac:dyDescent="0.35">
      <c r="A19" cm="1">
        <f t="array" ref="A19">IFERROR(INDEX('Row Level Master Sheet'!$K$2:$K$1001,_xlfn.AGGREGATE(15,6,(ROW('Row Level Master Sheet'!$K$2:$K$1001)-ROW('Row Level Master Sheet'!$K$2)+1)/('Row Level Master Sheet'!$C$2:$C$1001="Digital"),ROWS($A$2:A19))),"")</f>
        <v>-0.15999999999999989</v>
      </c>
      <c r="B19" s="39" cm="1">
        <f t="array" ref="B19">IFERROR(INDEX('Row Level Master Sheet'!$K$2:$K$1001,_xlfn.AGGREGATE(15,6,(ROW('Row Level Master Sheet'!$K$2:$K$1001)-ROW('Row Level Master Sheet'!$K$2)+1)/('Row Level Master Sheet'!$C$2:$C$1001="Traditional"),ROWS($B$2:B19))),"")</f>
        <v>-0.10000000000000006</v>
      </c>
    </row>
    <row r="20" spans="1:2" x14ac:dyDescent="0.35">
      <c r="A20" cm="1">
        <f t="array" ref="A20">IFERROR(INDEX('Row Level Master Sheet'!$K$2:$K$1001,_xlfn.AGGREGATE(15,6,(ROW('Row Level Master Sheet'!$K$2:$K$1001)-ROW('Row Level Master Sheet'!$K$2)+1)/('Row Level Master Sheet'!$C$2:$C$1001="Digital"),ROWS($A$2:A20))),"")</f>
        <v>-0.15000000000000005</v>
      </c>
      <c r="B20" s="39" cm="1">
        <f t="array" ref="B20">IFERROR(INDEX('Row Level Master Sheet'!$K$2:$K$1001,_xlfn.AGGREGATE(15,6,(ROW('Row Level Master Sheet'!$K$2:$K$1001)-ROW('Row Level Master Sheet'!$K$2)+1)/('Row Level Master Sheet'!$C$2:$C$1001="Traditional"),ROWS($B$2:B20))),"")</f>
        <v>-0.1</v>
      </c>
    </row>
    <row r="21" spans="1:2" x14ac:dyDescent="0.35">
      <c r="A21" cm="1">
        <f t="array" ref="A21">IFERROR(INDEX('Row Level Master Sheet'!$K$2:$K$1001,_xlfn.AGGREGATE(15,6,(ROW('Row Level Master Sheet'!$K$2:$K$1001)-ROW('Row Level Master Sheet'!$K$2)+1)/('Row Level Master Sheet'!$C$2:$C$1001="Digital"),ROWS($A$2:A21))),"")</f>
        <v>-0.15000000000000002</v>
      </c>
      <c r="B21" s="39" cm="1">
        <f t="array" ref="B21">IFERROR(INDEX('Row Level Master Sheet'!$K$2:$K$1001,_xlfn.AGGREGATE(15,6,(ROW('Row Level Master Sheet'!$K$2:$K$1001)-ROW('Row Level Master Sheet'!$K$2)+1)/('Row Level Master Sheet'!$C$2:$C$1001="Traditional"),ROWS($B$2:B21))),"")</f>
        <v>-9.9999999999999964E-2</v>
      </c>
    </row>
    <row r="22" spans="1:2" x14ac:dyDescent="0.35">
      <c r="A22" cm="1">
        <f t="array" ref="A22">IFERROR(INDEX('Row Level Master Sheet'!$K$2:$K$1001,_xlfn.AGGREGATE(15,6,(ROW('Row Level Master Sheet'!$K$2:$K$1001)-ROW('Row Level Master Sheet'!$K$2)+1)/('Row Level Master Sheet'!$C$2:$C$1001="Digital"),ROWS($A$2:A22))),"")</f>
        <v>-0.15</v>
      </c>
      <c r="B22" s="39" cm="1">
        <f t="array" ref="B22">IFERROR(INDEX('Row Level Master Sheet'!$K$2:$K$1001,_xlfn.AGGREGATE(15,6,(ROW('Row Level Master Sheet'!$K$2:$K$1001)-ROW('Row Level Master Sheet'!$K$2)+1)/('Row Level Master Sheet'!$C$2:$C$1001="Traditional"),ROWS($B$2:B22))),"")</f>
        <v>-9.0000000000000024E-2</v>
      </c>
    </row>
    <row r="23" spans="1:2" x14ac:dyDescent="0.35">
      <c r="A23" cm="1">
        <f t="array" ref="A23">IFERROR(INDEX('Row Level Master Sheet'!$K$2:$K$1001,_xlfn.AGGREGATE(15,6,(ROW('Row Level Master Sheet'!$K$2:$K$1001)-ROW('Row Level Master Sheet'!$K$2)+1)/('Row Level Master Sheet'!$C$2:$C$1001="Digital"),ROWS($A$2:A23))),"")</f>
        <v>-0.14999999999999997</v>
      </c>
      <c r="B23" s="39" cm="1">
        <f t="array" ref="B23">IFERROR(INDEX('Row Level Master Sheet'!$K$2:$K$1001,_xlfn.AGGREGATE(15,6,(ROW('Row Level Master Sheet'!$K$2:$K$1001)-ROW('Row Level Master Sheet'!$K$2)+1)/('Row Level Master Sheet'!$C$2:$C$1001="Traditional"),ROWS($B$2:B23))),"")</f>
        <v>-8.9999999999999941E-2</v>
      </c>
    </row>
    <row r="24" spans="1:2" x14ac:dyDescent="0.35">
      <c r="A24" cm="1">
        <f t="array" ref="A24">IFERROR(INDEX('Row Level Master Sheet'!$K$2:$K$1001,_xlfn.AGGREGATE(15,6,(ROW('Row Level Master Sheet'!$K$2:$K$1001)-ROW('Row Level Master Sheet'!$K$2)+1)/('Row Level Master Sheet'!$C$2:$C$1001="Digital"),ROWS($A$2:A24))),"")</f>
        <v>-0.1400000000000001</v>
      </c>
      <c r="B24" s="39" cm="1">
        <f t="array" ref="B24">IFERROR(INDEX('Row Level Master Sheet'!$K$2:$K$1001,_xlfn.AGGREGATE(15,6,(ROW('Row Level Master Sheet'!$K$2:$K$1001)-ROW('Row Level Master Sheet'!$K$2)+1)/('Row Level Master Sheet'!$C$2:$C$1001="Traditional"),ROWS($B$2:B24))),"")</f>
        <v>-8.0000000000000099E-2</v>
      </c>
    </row>
    <row r="25" spans="1:2" x14ac:dyDescent="0.35">
      <c r="A25" cm="1">
        <f t="array" ref="A25">IFERROR(INDEX('Row Level Master Sheet'!$K$2:$K$1001,_xlfn.AGGREGATE(15,6,(ROW('Row Level Master Sheet'!$K$2:$K$1001)-ROW('Row Level Master Sheet'!$K$2)+1)/('Row Level Master Sheet'!$C$2:$C$1001="Digital"),ROWS($A$2:A25))),"")</f>
        <v>-0.13999999999999999</v>
      </c>
      <c r="B25" s="39" cm="1">
        <f t="array" ref="B25">IFERROR(INDEX('Row Level Master Sheet'!$K$2:$K$1001,_xlfn.AGGREGATE(15,6,(ROW('Row Level Master Sheet'!$K$2:$K$1001)-ROW('Row Level Master Sheet'!$K$2)+1)/('Row Level Master Sheet'!$C$2:$C$1001="Traditional"),ROWS($B$2:B25))),"")</f>
        <v>-8.0000000000000043E-2</v>
      </c>
    </row>
    <row r="26" spans="1:2" x14ac:dyDescent="0.35">
      <c r="A26" cm="1">
        <f t="array" ref="A26">IFERROR(INDEX('Row Level Master Sheet'!$K$2:$K$1001,_xlfn.AGGREGATE(15,6,(ROW('Row Level Master Sheet'!$K$2:$K$1001)-ROW('Row Level Master Sheet'!$K$2)+1)/('Row Level Master Sheet'!$C$2:$C$1001="Digital"),ROWS($A$2:A26))),"")</f>
        <v>-0.13999999999999996</v>
      </c>
      <c r="B26" s="39" cm="1">
        <f t="array" ref="B26">IFERROR(INDEX('Row Level Master Sheet'!$K$2:$K$1001,_xlfn.AGGREGATE(15,6,(ROW('Row Level Master Sheet'!$K$2:$K$1001)-ROW('Row Level Master Sheet'!$K$2)+1)/('Row Level Master Sheet'!$C$2:$C$1001="Traditional"),ROWS($B$2:B26))),"")</f>
        <v>-7.0000000000000118E-2</v>
      </c>
    </row>
    <row r="27" spans="1:2" x14ac:dyDescent="0.35">
      <c r="A27" cm="1">
        <f t="array" ref="A27">IFERROR(INDEX('Row Level Master Sheet'!$K$2:$K$1001,_xlfn.AGGREGATE(15,6,(ROW('Row Level Master Sheet'!$K$2:$K$1001)-ROW('Row Level Master Sheet'!$K$2)+1)/('Row Level Master Sheet'!$C$2:$C$1001="Digital"),ROWS($A$2:A27))),"")</f>
        <v>-0.1399999999999999</v>
      </c>
      <c r="B27" s="39" cm="1">
        <f t="array" ref="B27">IFERROR(INDEX('Row Level Master Sheet'!$K$2:$K$1001,_xlfn.AGGREGATE(15,6,(ROW('Row Level Master Sheet'!$K$2:$K$1001)-ROW('Row Level Master Sheet'!$K$2)+1)/('Row Level Master Sheet'!$C$2:$C$1001="Traditional"),ROWS($B$2:B27))),"")</f>
        <v>-6.999999999999991E-2</v>
      </c>
    </row>
    <row r="28" spans="1:2" x14ac:dyDescent="0.35">
      <c r="A28" cm="1">
        <f t="array" ref="A28">IFERROR(INDEX('Row Level Master Sheet'!$K$2:$K$1001,_xlfn.AGGREGATE(15,6,(ROW('Row Level Master Sheet'!$K$2:$K$1001)-ROW('Row Level Master Sheet'!$K$2)+1)/('Row Level Master Sheet'!$C$2:$C$1001="Digital"),ROWS($A$2:A28))),"")</f>
        <v>-0.13000000000000009</v>
      </c>
      <c r="B28" s="39" cm="1">
        <f t="array" ref="B28">IFERROR(INDEX('Row Level Master Sheet'!$K$2:$K$1001,_xlfn.AGGREGATE(15,6,(ROW('Row Level Master Sheet'!$K$2:$K$1001)-ROW('Row Level Master Sheet'!$K$2)+1)/('Row Level Master Sheet'!$C$2:$C$1001="Traditional"),ROWS($B$2:B28))),"")</f>
        <v>-6.0000000000000053E-2</v>
      </c>
    </row>
    <row r="29" spans="1:2" x14ac:dyDescent="0.35">
      <c r="A29" cm="1">
        <f t="array" ref="A29">IFERROR(INDEX('Row Level Master Sheet'!$K$2:$K$1001,_xlfn.AGGREGATE(15,6,(ROW('Row Level Master Sheet'!$K$2:$K$1001)-ROW('Row Level Master Sheet'!$K$2)+1)/('Row Level Master Sheet'!$C$2:$C$1001="Digital"),ROWS($A$2:A29))),"")</f>
        <v>-0.13000000000000003</v>
      </c>
      <c r="B29" s="39" cm="1">
        <f t="array" ref="B29">IFERROR(INDEX('Row Level Master Sheet'!$K$2:$K$1001,_xlfn.AGGREGATE(15,6,(ROW('Row Level Master Sheet'!$K$2:$K$1001)-ROW('Row Level Master Sheet'!$K$2)+1)/('Row Level Master Sheet'!$C$2:$C$1001="Traditional"),ROWS($B$2:B29))),"")</f>
        <v>-5.0000000000000051E-2</v>
      </c>
    </row>
    <row r="30" spans="1:2" x14ac:dyDescent="0.35">
      <c r="A30" cm="1">
        <f t="array" ref="A30">IFERROR(INDEX('Row Level Master Sheet'!$K$2:$K$1001,_xlfn.AGGREGATE(15,6,(ROW('Row Level Master Sheet'!$K$2:$K$1001)-ROW('Row Level Master Sheet'!$K$2)+1)/('Row Level Master Sheet'!$C$2:$C$1001="Digital"),ROWS($A$2:A30))),"")</f>
        <v>-0.13</v>
      </c>
      <c r="B30" s="39" cm="1">
        <f t="array" ref="B30">IFERROR(INDEX('Row Level Master Sheet'!$K$2:$K$1001,_xlfn.AGGREGATE(15,6,(ROW('Row Level Master Sheet'!$K$2:$K$1001)-ROW('Row Level Master Sheet'!$K$2)+1)/('Row Level Master Sheet'!$C$2:$C$1001="Traditional"),ROWS($B$2:B30))),"")</f>
        <v>-0.04</v>
      </c>
    </row>
    <row r="31" spans="1:2" x14ac:dyDescent="0.35">
      <c r="A31" cm="1">
        <f t="array" ref="A31">IFERROR(INDEX('Row Level Master Sheet'!$K$2:$K$1001,_xlfn.AGGREGATE(15,6,(ROW('Row Level Master Sheet'!$K$2:$K$1001)-ROW('Row Level Master Sheet'!$K$2)+1)/('Row Level Master Sheet'!$C$2:$C$1001="Digital"),ROWS($A$2:A31))),"")</f>
        <v>-0.11999999999999995</v>
      </c>
      <c r="B31" s="39" cm="1">
        <f t="array" ref="B31">IFERROR(INDEX('Row Level Master Sheet'!$K$2:$K$1001,_xlfn.AGGREGATE(15,6,(ROW('Row Level Master Sheet'!$K$2:$K$1001)-ROW('Row Level Master Sheet'!$K$2)+1)/('Row Level Master Sheet'!$C$2:$C$1001="Traditional"),ROWS($B$2:B31))),"")</f>
        <v>-3.9999999999999938E-2</v>
      </c>
    </row>
    <row r="32" spans="1:2" x14ac:dyDescent="0.35">
      <c r="A32" cm="1">
        <f t="array" ref="A32">IFERROR(INDEX('Row Level Master Sheet'!$K$2:$K$1001,_xlfn.AGGREGATE(15,6,(ROW('Row Level Master Sheet'!$K$2:$K$1001)-ROW('Row Level Master Sheet'!$K$2)+1)/('Row Level Master Sheet'!$C$2:$C$1001="Digital"),ROWS($A$2:A32))),"")</f>
        <v>-0.11999999999999993</v>
      </c>
      <c r="B32" s="39" cm="1">
        <f t="array" ref="B32">IFERROR(INDEX('Row Level Master Sheet'!$K$2:$K$1001,_xlfn.AGGREGATE(15,6,(ROW('Row Level Master Sheet'!$K$2:$K$1001)-ROW('Row Level Master Sheet'!$K$2)+1)/('Row Level Master Sheet'!$C$2:$C$1001="Traditional"),ROWS($B$2:B32))),"")</f>
        <v>-2.0000000000000073E-2</v>
      </c>
    </row>
    <row r="33" spans="1:2" x14ac:dyDescent="0.35">
      <c r="A33" cm="1">
        <f t="array" ref="A33">IFERROR(INDEX('Row Level Master Sheet'!$K$2:$K$1001,_xlfn.AGGREGATE(15,6,(ROW('Row Level Master Sheet'!$K$2:$K$1001)-ROW('Row Level Master Sheet'!$K$2)+1)/('Row Level Master Sheet'!$C$2:$C$1001="Digital"),ROWS($A$2:A33))),"")</f>
        <v>-0.11999999999999991</v>
      </c>
      <c r="B33" s="39" cm="1">
        <f t="array" ref="B33">IFERROR(INDEX('Row Level Master Sheet'!$K$2:$K$1001,_xlfn.AGGREGATE(15,6,(ROW('Row Level Master Sheet'!$K$2:$K$1001)-ROW('Row Level Master Sheet'!$K$2)+1)/('Row Level Master Sheet'!$C$2:$C$1001="Traditional"),ROWS($B$2:B33))),"")</f>
        <v>-2.0000000000000042E-2</v>
      </c>
    </row>
    <row r="34" spans="1:2" x14ac:dyDescent="0.35">
      <c r="A34" cm="1">
        <f t="array" ref="A34">IFERROR(INDEX('Row Level Master Sheet'!$K$2:$K$1001,_xlfn.AGGREGATE(15,6,(ROW('Row Level Master Sheet'!$K$2:$K$1001)-ROW('Row Level Master Sheet'!$K$2)+1)/('Row Level Master Sheet'!$C$2:$C$1001="Digital"),ROWS($A$2:A34))),"")</f>
        <v>-0.11000000000000004</v>
      </c>
      <c r="B34" s="39" cm="1">
        <f t="array" ref="B34">IFERROR(INDEX('Row Level Master Sheet'!$K$2:$K$1001,_xlfn.AGGREGATE(15,6,(ROW('Row Level Master Sheet'!$K$2:$K$1001)-ROW('Row Level Master Sheet'!$K$2)+1)/('Row Level Master Sheet'!$C$2:$C$1001="Traditional"),ROWS($B$2:B34))),"")</f>
        <v>-1.9999999999999993E-2</v>
      </c>
    </row>
    <row r="35" spans="1:2" x14ac:dyDescent="0.35">
      <c r="A35" cm="1">
        <f t="array" ref="A35">IFERROR(INDEX('Row Level Master Sheet'!$K$2:$K$1001,_xlfn.AGGREGATE(15,6,(ROW('Row Level Master Sheet'!$K$2:$K$1001)-ROW('Row Level Master Sheet'!$K$2)+1)/('Row Level Master Sheet'!$C$2:$C$1001="Digital"),ROWS($A$2:A35))),"")</f>
        <v>-0.10999999999999997</v>
      </c>
      <c r="B35" s="39" cm="1">
        <f t="array" ref="B35">IFERROR(INDEX('Row Level Master Sheet'!$K$2:$K$1001,_xlfn.AGGREGATE(15,6,(ROW('Row Level Master Sheet'!$K$2:$K$1001)-ROW('Row Level Master Sheet'!$K$2)+1)/('Row Level Master Sheet'!$C$2:$C$1001="Traditional"),ROWS($B$2:B35))),"")</f>
        <v>-1.0000000000000085E-2</v>
      </c>
    </row>
    <row r="36" spans="1:2" x14ac:dyDescent="0.35">
      <c r="A36" cm="1">
        <f t="array" ref="A36">IFERROR(INDEX('Row Level Master Sheet'!$K$2:$K$1001,_xlfn.AGGREGATE(15,6,(ROW('Row Level Master Sheet'!$K$2:$K$1001)-ROW('Row Level Master Sheet'!$K$2)+1)/('Row Level Master Sheet'!$C$2:$C$1001="Digital"),ROWS($A$2:A36))),"")</f>
        <v>-0.10999999999999996</v>
      </c>
      <c r="B36" s="39" cm="1">
        <f t="array" ref="B36">IFERROR(INDEX('Row Level Master Sheet'!$K$2:$K$1001,_xlfn.AGGREGATE(15,6,(ROW('Row Level Master Sheet'!$K$2:$K$1001)-ROW('Row Level Master Sheet'!$K$2)+1)/('Row Level Master Sheet'!$C$2:$C$1001="Traditional"),ROWS($B$2:B36))),"")</f>
        <v>-1.0000000000000033E-2</v>
      </c>
    </row>
    <row r="37" spans="1:2" x14ac:dyDescent="0.35">
      <c r="A37" cm="1">
        <f t="array" ref="A37">IFERROR(INDEX('Row Level Master Sheet'!$K$2:$K$1001,_xlfn.AGGREGATE(15,6,(ROW('Row Level Master Sheet'!$K$2:$K$1001)-ROW('Row Level Master Sheet'!$K$2)+1)/('Row Level Master Sheet'!$C$2:$C$1001="Digital"),ROWS($A$2:A37))),"")</f>
        <v>-0.10999999999999992</v>
      </c>
      <c r="B37" s="39" cm="1">
        <f t="array" ref="B37">IFERROR(INDEX('Row Level Master Sheet'!$K$2:$K$1001,_xlfn.AGGREGATE(15,6,(ROW('Row Level Master Sheet'!$K$2:$K$1001)-ROW('Row Level Master Sheet'!$K$2)+1)/('Row Level Master Sheet'!$C$2:$C$1001="Traditional"),ROWS($B$2:B37))),"")</f>
        <v>-9.9999999999999256E-3</v>
      </c>
    </row>
    <row r="38" spans="1:2" x14ac:dyDescent="0.35">
      <c r="A38" cm="1">
        <f t="array" ref="A38">IFERROR(INDEX('Row Level Master Sheet'!$K$2:$K$1001,_xlfn.AGGREGATE(15,6,(ROW('Row Level Master Sheet'!$K$2:$K$1001)-ROW('Row Level Master Sheet'!$K$2)+1)/('Row Level Master Sheet'!$C$2:$C$1001="Digital"),ROWS($A$2:A38))),"")</f>
        <v>-0.1099999999999999</v>
      </c>
      <c r="B38" s="39" cm="1">
        <f t="array" ref="B38">IFERROR(INDEX('Row Level Master Sheet'!$K$2:$K$1001,_xlfn.AGGREGATE(15,6,(ROW('Row Level Master Sheet'!$K$2:$K$1001)-ROW('Row Level Master Sheet'!$K$2)+1)/('Row Level Master Sheet'!$C$2:$C$1001="Traditional"),ROWS($B$2:B38))),"")</f>
        <v>0</v>
      </c>
    </row>
    <row r="39" spans="1:2" x14ac:dyDescent="0.35">
      <c r="A39" cm="1">
        <f t="array" ref="A39">IFERROR(INDEX('Row Level Master Sheet'!$K$2:$K$1001,_xlfn.AGGREGATE(15,6,(ROW('Row Level Master Sheet'!$K$2:$K$1001)-ROW('Row Level Master Sheet'!$K$2)+1)/('Row Level Master Sheet'!$C$2:$C$1001="Digital"),ROWS($A$2:A39))),"")</f>
        <v>-0.10000000000000006</v>
      </c>
      <c r="B39" s="39" cm="1">
        <f t="array" ref="B39">IFERROR(INDEX('Row Level Master Sheet'!$K$2:$K$1001,_xlfn.AGGREGATE(15,6,(ROW('Row Level Master Sheet'!$K$2:$K$1001)-ROW('Row Level Master Sheet'!$K$2)+1)/('Row Level Master Sheet'!$C$2:$C$1001="Traditional"),ROWS($B$2:B39))),"")</f>
        <v>0</v>
      </c>
    </row>
    <row r="40" spans="1:2" x14ac:dyDescent="0.35">
      <c r="A40" cm="1">
        <f t="array" ref="A40">IFERROR(INDEX('Row Level Master Sheet'!$K$2:$K$1001,_xlfn.AGGREGATE(15,6,(ROW('Row Level Master Sheet'!$K$2:$K$1001)-ROW('Row Level Master Sheet'!$K$2)+1)/('Row Level Master Sheet'!$C$2:$C$1001="Digital"),ROWS($A$2:A40))),"")</f>
        <v>-0.10000000000000005</v>
      </c>
      <c r="B40" s="39" cm="1">
        <f t="array" ref="B40">IFERROR(INDEX('Row Level Master Sheet'!$K$2:$K$1001,_xlfn.AGGREGATE(15,6,(ROW('Row Level Master Sheet'!$K$2:$K$1001)-ROW('Row Level Master Sheet'!$K$2)+1)/('Row Level Master Sheet'!$C$2:$C$1001="Traditional"),ROWS($B$2:B40))),"")</f>
        <v>9.9999999999999291E-3</v>
      </c>
    </row>
    <row r="41" spans="1:2" x14ac:dyDescent="0.35">
      <c r="A41" cm="1">
        <f t="array" ref="A41">IFERROR(INDEX('Row Level Master Sheet'!$K$2:$K$1001,_xlfn.AGGREGATE(15,6,(ROW('Row Level Master Sheet'!$K$2:$K$1001)-ROW('Row Level Master Sheet'!$K$2)+1)/('Row Level Master Sheet'!$C$2:$C$1001="Digital"),ROWS($A$2:A41))),"")</f>
        <v>-9.9999999999999964E-2</v>
      </c>
      <c r="B41" s="39" cm="1">
        <f t="array" ref="B41">IFERROR(INDEX('Row Level Master Sheet'!$K$2:$K$1001,_xlfn.AGGREGATE(15,6,(ROW('Row Level Master Sheet'!$K$2:$K$1001)-ROW('Row Level Master Sheet'!$K$2)+1)/('Row Level Master Sheet'!$C$2:$C$1001="Traditional"),ROWS($B$2:B41))),"")</f>
        <v>2.999999999999994E-2</v>
      </c>
    </row>
    <row r="42" spans="1:2" x14ac:dyDescent="0.35">
      <c r="A42" cm="1">
        <f t="array" ref="A42">IFERROR(INDEX('Row Level Master Sheet'!$K$2:$K$1001,_xlfn.AGGREGATE(15,6,(ROW('Row Level Master Sheet'!$K$2:$K$1001)-ROW('Row Level Master Sheet'!$K$2)+1)/('Row Level Master Sheet'!$C$2:$C$1001="Digital"),ROWS($A$2:A42))),"")</f>
        <v>-9.9999999999999936E-2</v>
      </c>
      <c r="B42" s="39" cm="1">
        <f t="array" ref="B42">IFERROR(INDEX('Row Level Master Sheet'!$K$2:$K$1001,_xlfn.AGGREGATE(15,6,(ROW('Row Level Master Sheet'!$K$2:$K$1001)-ROW('Row Level Master Sheet'!$K$2)+1)/('Row Level Master Sheet'!$C$2:$C$1001="Traditional"),ROWS($B$2:B42))),"")</f>
        <v>2.9999999999999947E-2</v>
      </c>
    </row>
    <row r="43" spans="1:2" x14ac:dyDescent="0.35">
      <c r="A43" cm="1">
        <f t="array" ref="A43">IFERROR(INDEX('Row Level Master Sheet'!$K$2:$K$1001,_xlfn.AGGREGATE(15,6,(ROW('Row Level Master Sheet'!$K$2:$K$1001)-ROW('Row Level Master Sheet'!$K$2)+1)/('Row Level Master Sheet'!$C$2:$C$1001="Digital"),ROWS($A$2:A43))),"")</f>
        <v>-9.0000000000000094E-2</v>
      </c>
      <c r="B43" s="39" cm="1">
        <f t="array" ref="B43">IFERROR(INDEX('Row Level Master Sheet'!$K$2:$K$1001,_xlfn.AGGREGATE(15,6,(ROW('Row Level Master Sheet'!$K$2:$K$1001)-ROW('Row Level Master Sheet'!$K$2)+1)/('Row Level Master Sheet'!$C$2:$C$1001="Traditional"),ROWS($B$2:B43))),"")</f>
        <v>3.9999999999999994E-2</v>
      </c>
    </row>
    <row r="44" spans="1:2" x14ac:dyDescent="0.35">
      <c r="A44" cm="1">
        <f t="array" ref="A44">IFERROR(INDEX('Row Level Master Sheet'!$K$2:$K$1001,_xlfn.AGGREGATE(15,6,(ROW('Row Level Master Sheet'!$K$2:$K$1001)-ROW('Row Level Master Sheet'!$K$2)+1)/('Row Level Master Sheet'!$C$2:$C$1001="Digital"),ROWS($A$2:A44))),"")</f>
        <v>-9.0000000000000052E-2</v>
      </c>
      <c r="B44" s="39" cm="1">
        <f t="array" ref="B44">IFERROR(INDEX('Row Level Master Sheet'!$K$2:$K$1001,_xlfn.AGGREGATE(15,6,(ROW('Row Level Master Sheet'!$K$2:$K$1001)-ROW('Row Level Master Sheet'!$K$2)+1)/('Row Level Master Sheet'!$C$2:$C$1001="Traditional"),ROWS($B$2:B44))),"")</f>
        <v>6.9999999999999937E-2</v>
      </c>
    </row>
    <row r="45" spans="1:2" x14ac:dyDescent="0.35">
      <c r="A45" cm="1">
        <f t="array" ref="A45">IFERROR(INDEX('Row Level Master Sheet'!$K$2:$K$1001,_xlfn.AGGREGATE(15,6,(ROW('Row Level Master Sheet'!$K$2:$K$1001)-ROW('Row Level Master Sheet'!$K$2)+1)/('Row Level Master Sheet'!$C$2:$C$1001="Digital"),ROWS($A$2:A45))),"")</f>
        <v>-8.9999999999999983E-2</v>
      </c>
      <c r="B45" s="39" cm="1">
        <f t="array" ref="B45">IFERROR(INDEX('Row Level Master Sheet'!$K$2:$K$1001,_xlfn.AGGREGATE(15,6,(ROW('Row Level Master Sheet'!$K$2:$K$1001)-ROW('Row Level Master Sheet'!$K$2)+1)/('Row Level Master Sheet'!$C$2:$C$1001="Traditional"),ROWS($B$2:B45))),"")</f>
        <v>8.0000000000000043E-2</v>
      </c>
    </row>
    <row r="46" spans="1:2" x14ac:dyDescent="0.35">
      <c r="A46" cm="1">
        <f t="array" ref="A46">IFERROR(INDEX('Row Level Master Sheet'!$K$2:$K$1001,_xlfn.AGGREGATE(15,6,(ROW('Row Level Master Sheet'!$K$2:$K$1001)-ROW('Row Level Master Sheet'!$K$2)+1)/('Row Level Master Sheet'!$C$2:$C$1001="Digital"),ROWS($A$2:A46))),"")</f>
        <v>-8.9999999999999969E-2</v>
      </c>
      <c r="B46" s="39" cm="1">
        <f t="array" ref="B46">IFERROR(INDEX('Row Level Master Sheet'!$K$2:$K$1001,_xlfn.AGGREGATE(15,6,(ROW('Row Level Master Sheet'!$K$2:$K$1001)-ROW('Row Level Master Sheet'!$K$2)+1)/('Row Level Master Sheet'!$C$2:$C$1001="Traditional"),ROWS($B$2:B46))),"")</f>
        <v>8.0000000000000099E-2</v>
      </c>
    </row>
    <row r="47" spans="1:2" x14ac:dyDescent="0.35">
      <c r="A47" cm="1">
        <f t="array" ref="A47">IFERROR(INDEX('Row Level Master Sheet'!$K$2:$K$1001,_xlfn.AGGREGATE(15,6,(ROW('Row Level Master Sheet'!$K$2:$K$1001)-ROW('Row Level Master Sheet'!$K$2)+1)/('Row Level Master Sheet'!$C$2:$C$1001="Digital"),ROWS($A$2:A47))),"")</f>
        <v>-8.9999999999999969E-2</v>
      </c>
      <c r="B47" s="39" cm="1">
        <f t="array" ref="B47">IFERROR(INDEX('Row Level Master Sheet'!$K$2:$K$1001,_xlfn.AGGREGATE(15,6,(ROW('Row Level Master Sheet'!$K$2:$K$1001)-ROW('Row Level Master Sheet'!$K$2)+1)/('Row Level Master Sheet'!$C$2:$C$1001="Traditional"),ROWS($B$2:B47))),"")</f>
        <v>9.0000000000000094E-2</v>
      </c>
    </row>
    <row r="48" spans="1:2" x14ac:dyDescent="0.35">
      <c r="A48" cm="1">
        <f t="array" ref="A48">IFERROR(INDEX('Row Level Master Sheet'!$K$2:$K$1001,_xlfn.AGGREGATE(15,6,(ROW('Row Level Master Sheet'!$K$2:$K$1001)-ROW('Row Level Master Sheet'!$K$2)+1)/('Row Level Master Sheet'!$C$2:$C$1001="Digital"),ROWS($A$2:A48))),"")</f>
        <v>-8.0000000000000113E-2</v>
      </c>
      <c r="B48" s="39" cm="1">
        <f t="array" ref="B48">IFERROR(INDEX('Row Level Master Sheet'!$K$2:$K$1001,_xlfn.AGGREGATE(15,6,(ROW('Row Level Master Sheet'!$K$2:$K$1001)-ROW('Row Level Master Sheet'!$K$2)+1)/('Row Level Master Sheet'!$C$2:$C$1001="Traditional"),ROWS($B$2:B48))),"")</f>
        <v>0.10000000000000002</v>
      </c>
    </row>
    <row r="49" spans="1:2" x14ac:dyDescent="0.35">
      <c r="A49" cm="1">
        <f t="array" ref="A49">IFERROR(INDEX('Row Level Master Sheet'!$K$2:$K$1001,_xlfn.AGGREGATE(15,6,(ROW('Row Level Master Sheet'!$K$2:$K$1001)-ROW('Row Level Master Sheet'!$K$2)+1)/('Row Level Master Sheet'!$C$2:$C$1001="Digital"),ROWS($A$2:A49))),"")</f>
        <v>-7.9999999999999988E-2</v>
      </c>
      <c r="B49" s="39" cm="1">
        <f t="array" ref="B49">IFERROR(INDEX('Row Level Master Sheet'!$K$2:$K$1001,_xlfn.AGGREGATE(15,6,(ROW('Row Level Master Sheet'!$K$2:$K$1001)-ROW('Row Level Master Sheet'!$K$2)+1)/('Row Level Master Sheet'!$C$2:$C$1001="Traditional"),ROWS($B$2:B49))),"")</f>
        <v>0.11000000000000006</v>
      </c>
    </row>
    <row r="50" spans="1:2" x14ac:dyDescent="0.35">
      <c r="A50" cm="1">
        <f t="array" ref="A50">IFERROR(INDEX('Row Level Master Sheet'!$K$2:$K$1001,_xlfn.AGGREGATE(15,6,(ROW('Row Level Master Sheet'!$K$2:$K$1001)-ROW('Row Level Master Sheet'!$K$2)+1)/('Row Level Master Sheet'!$C$2:$C$1001="Digital"),ROWS($A$2:A50))),"")</f>
        <v>-7.9999999999999988E-2</v>
      </c>
      <c r="B50" s="39" cm="1">
        <f t="array" ref="B50">IFERROR(INDEX('Row Level Master Sheet'!$K$2:$K$1001,_xlfn.AGGREGATE(15,6,(ROW('Row Level Master Sheet'!$K$2:$K$1001)-ROW('Row Level Master Sheet'!$K$2)+1)/('Row Level Master Sheet'!$C$2:$C$1001="Traditional"),ROWS($B$2:B50))),"")</f>
        <v>0.12000000000000001</v>
      </c>
    </row>
    <row r="51" spans="1:2" x14ac:dyDescent="0.35">
      <c r="A51" cm="1">
        <f t="array" ref="A51">IFERROR(INDEX('Row Level Master Sheet'!$K$2:$K$1001,_xlfn.AGGREGATE(15,6,(ROW('Row Level Master Sheet'!$K$2:$K$1001)-ROW('Row Level Master Sheet'!$K$2)+1)/('Row Level Master Sheet'!$C$2:$C$1001="Digital"),ROWS($A$2:A51))),"")</f>
        <v>-7.999999999999996E-2</v>
      </c>
      <c r="B51" s="39" cm="1">
        <f t="array" ref="B51">IFERROR(INDEX('Row Level Master Sheet'!$K$2:$K$1001,_xlfn.AGGREGATE(15,6,(ROW('Row Level Master Sheet'!$K$2:$K$1001)-ROW('Row Level Master Sheet'!$K$2)+1)/('Row Level Master Sheet'!$C$2:$C$1001="Traditional"),ROWS($B$2:B51))),"")</f>
        <v>0.12000000000000004</v>
      </c>
    </row>
    <row r="52" spans="1:2" x14ac:dyDescent="0.35">
      <c r="A52" cm="1">
        <f t="array" ref="A52">IFERROR(INDEX('Row Level Master Sheet'!$K$2:$K$1001,_xlfn.AGGREGATE(15,6,(ROW('Row Level Master Sheet'!$K$2:$K$1001)-ROW('Row Level Master Sheet'!$K$2)+1)/('Row Level Master Sheet'!$C$2:$C$1001="Digital"),ROWS($A$2:A52))),"")</f>
        <v>-7.9999999999999877E-2</v>
      </c>
      <c r="B52" s="39" cm="1">
        <f t="array" ref="B52">IFERROR(INDEX('Row Level Master Sheet'!$K$2:$K$1001,_xlfn.AGGREGATE(15,6,(ROW('Row Level Master Sheet'!$K$2:$K$1001)-ROW('Row Level Master Sheet'!$K$2)+1)/('Row Level Master Sheet'!$C$2:$C$1001="Traditional"),ROWS($B$2:B52))),"")</f>
        <v>0.13</v>
      </c>
    </row>
    <row r="53" spans="1:2" x14ac:dyDescent="0.35">
      <c r="A53" cm="1">
        <f t="array" ref="A53">IFERROR(INDEX('Row Level Master Sheet'!$K$2:$K$1001,_xlfn.AGGREGATE(15,6,(ROW('Row Level Master Sheet'!$K$2:$K$1001)-ROW('Row Level Master Sheet'!$K$2)+1)/('Row Level Master Sheet'!$C$2:$C$1001="Digital"),ROWS($A$2:A53))),"")</f>
        <v>-7.0000000000000062E-2</v>
      </c>
      <c r="B53" s="39" cm="1">
        <f t="array" ref="B53">IFERROR(INDEX('Row Level Master Sheet'!$K$2:$K$1001,_xlfn.AGGREGATE(15,6,(ROW('Row Level Master Sheet'!$K$2:$K$1001)-ROW('Row Level Master Sheet'!$K$2)+1)/('Row Level Master Sheet'!$C$2:$C$1001="Traditional"),ROWS($B$2:B53))),"")</f>
        <v>0.13000000000000006</v>
      </c>
    </row>
    <row r="54" spans="1:2" x14ac:dyDescent="0.35">
      <c r="A54" cm="1">
        <f t="array" ref="A54">IFERROR(INDEX('Row Level Master Sheet'!$K$2:$K$1001,_xlfn.AGGREGATE(15,6,(ROW('Row Level Master Sheet'!$K$2:$K$1001)-ROW('Row Level Master Sheet'!$K$2)+1)/('Row Level Master Sheet'!$C$2:$C$1001="Digital"),ROWS($A$2:A54))),"")</f>
        <v>-7.0000000000000062E-2</v>
      </c>
      <c r="B54" s="39" cm="1">
        <f t="array" ref="B54">IFERROR(INDEX('Row Level Master Sheet'!$K$2:$K$1001,_xlfn.AGGREGATE(15,6,(ROW('Row Level Master Sheet'!$K$2:$K$1001)-ROW('Row Level Master Sheet'!$K$2)+1)/('Row Level Master Sheet'!$C$2:$C$1001="Traditional"),ROWS($B$2:B54))),"")</f>
        <v>0.1399999999999999</v>
      </c>
    </row>
    <row r="55" spans="1:2" x14ac:dyDescent="0.35">
      <c r="A55" cm="1">
        <f t="array" ref="A55">IFERROR(INDEX('Row Level Master Sheet'!$K$2:$K$1001,_xlfn.AGGREGATE(15,6,(ROW('Row Level Master Sheet'!$K$2:$K$1001)-ROW('Row Level Master Sheet'!$K$2)+1)/('Row Level Master Sheet'!$C$2:$C$1001="Digital"),ROWS($A$2:A55))),"")</f>
        <v>-6.999999999999991E-2</v>
      </c>
      <c r="B55" s="39" cm="1">
        <f t="array" ref="B55">IFERROR(INDEX('Row Level Master Sheet'!$K$2:$K$1001,_xlfn.AGGREGATE(15,6,(ROW('Row Level Master Sheet'!$K$2:$K$1001)-ROW('Row Level Master Sheet'!$K$2)+1)/('Row Level Master Sheet'!$C$2:$C$1001="Traditional"),ROWS($B$2:B55))),"")</f>
        <v>0.13999999999999996</v>
      </c>
    </row>
    <row r="56" spans="1:2" x14ac:dyDescent="0.35">
      <c r="A56" cm="1">
        <f t="array" ref="A56">IFERROR(INDEX('Row Level Master Sheet'!$K$2:$K$1001,_xlfn.AGGREGATE(15,6,(ROW('Row Level Master Sheet'!$K$2:$K$1001)-ROW('Row Level Master Sheet'!$K$2)+1)/('Row Level Master Sheet'!$C$2:$C$1001="Digital"),ROWS($A$2:A56))),"")</f>
        <v>-6.9999999999999896E-2</v>
      </c>
      <c r="B56" s="39" cm="1">
        <f t="array" ref="B56">IFERROR(INDEX('Row Level Master Sheet'!$K$2:$K$1001,_xlfn.AGGREGATE(15,6,(ROW('Row Level Master Sheet'!$K$2:$K$1001)-ROW('Row Level Master Sheet'!$K$2)+1)/('Row Level Master Sheet'!$C$2:$C$1001="Traditional"),ROWS($B$2:B56))),"")</f>
        <v>0.14999999999999988</v>
      </c>
    </row>
    <row r="57" spans="1:2" x14ac:dyDescent="0.35">
      <c r="A57" cm="1">
        <f t="array" ref="A57">IFERROR(INDEX('Row Level Master Sheet'!$K$2:$K$1001,_xlfn.AGGREGATE(15,6,(ROW('Row Level Master Sheet'!$K$2:$K$1001)-ROW('Row Level Master Sheet'!$K$2)+1)/('Row Level Master Sheet'!$C$2:$C$1001="Digital"),ROWS($A$2:A57))),"")</f>
        <v>-6.0000000000000116E-2</v>
      </c>
      <c r="B57" s="39" cm="1">
        <f t="array" ref="B57">IFERROR(INDEX('Row Level Master Sheet'!$K$2:$K$1001,_xlfn.AGGREGATE(15,6,(ROW('Row Level Master Sheet'!$K$2:$K$1001)-ROW('Row Level Master Sheet'!$K$2)+1)/('Row Level Master Sheet'!$C$2:$C$1001="Traditional"),ROWS($B$2:B57))),"")</f>
        <v>0.14999999999999997</v>
      </c>
    </row>
    <row r="58" spans="1:2" x14ac:dyDescent="0.35">
      <c r="A58" cm="1">
        <f t="array" ref="A58">IFERROR(INDEX('Row Level Master Sheet'!$K$2:$K$1001,_xlfn.AGGREGATE(15,6,(ROW('Row Level Master Sheet'!$K$2:$K$1001)-ROW('Row Level Master Sheet'!$K$2)+1)/('Row Level Master Sheet'!$C$2:$C$1001="Digital"),ROWS($A$2:A58))),"")</f>
        <v>-6.0000000000000039E-2</v>
      </c>
      <c r="B58" s="39" cm="1">
        <f t="array" ref="B58">IFERROR(INDEX('Row Level Master Sheet'!$K$2:$K$1001,_xlfn.AGGREGATE(15,6,(ROW('Row Level Master Sheet'!$K$2:$K$1001)-ROW('Row Level Master Sheet'!$K$2)+1)/('Row Level Master Sheet'!$C$2:$C$1001="Traditional"),ROWS($B$2:B58))),"")</f>
        <v>0.15000000000000002</v>
      </c>
    </row>
    <row r="59" spans="1:2" x14ac:dyDescent="0.35">
      <c r="A59" cm="1">
        <f t="array" ref="A59">IFERROR(INDEX('Row Level Master Sheet'!$K$2:$K$1001,_xlfn.AGGREGATE(15,6,(ROW('Row Level Master Sheet'!$K$2:$K$1001)-ROW('Row Level Master Sheet'!$K$2)+1)/('Row Level Master Sheet'!$C$2:$C$1001="Digital"),ROWS($A$2:A59))),"")</f>
        <v>-6.0000000000000019E-2</v>
      </c>
      <c r="B59" s="39" cm="1">
        <f t="array" ref="B59">IFERROR(INDEX('Row Level Master Sheet'!$K$2:$K$1001,_xlfn.AGGREGATE(15,6,(ROW('Row Level Master Sheet'!$K$2:$K$1001)-ROW('Row Level Master Sheet'!$K$2)+1)/('Row Level Master Sheet'!$C$2:$C$1001="Traditional"),ROWS($B$2:B59))),"")</f>
        <v>0.15999999999999998</v>
      </c>
    </row>
    <row r="60" spans="1:2" x14ac:dyDescent="0.35">
      <c r="A60" cm="1">
        <f t="array" ref="A60">IFERROR(INDEX('Row Level Master Sheet'!$K$2:$K$1001,_xlfn.AGGREGATE(15,6,(ROW('Row Level Master Sheet'!$K$2:$K$1001)-ROW('Row Level Master Sheet'!$K$2)+1)/('Row Level Master Sheet'!$C$2:$C$1001="Digital"),ROWS($A$2:A60))),"")</f>
        <v>-5.9999999999999984E-2</v>
      </c>
      <c r="B60" s="39" cm="1">
        <f t="array" ref="B60">IFERROR(INDEX('Row Level Master Sheet'!$K$2:$K$1001,_xlfn.AGGREGATE(15,6,(ROW('Row Level Master Sheet'!$K$2:$K$1001)-ROW('Row Level Master Sheet'!$K$2)+1)/('Row Level Master Sheet'!$C$2:$C$1001="Traditional"),ROWS($B$2:B60))),"")</f>
        <v>0.16999999999999993</v>
      </c>
    </row>
    <row r="61" spans="1:2" x14ac:dyDescent="0.35">
      <c r="A61" cm="1">
        <f t="array" ref="A61">IFERROR(INDEX('Row Level Master Sheet'!$K$2:$K$1001,_xlfn.AGGREGATE(15,6,(ROW('Row Level Master Sheet'!$K$2:$K$1001)-ROW('Row Level Master Sheet'!$K$2)+1)/('Row Level Master Sheet'!$C$2:$C$1001="Digital"),ROWS($A$2:A61))),"")</f>
        <v>-5.0000000000000107E-2</v>
      </c>
      <c r="B61" s="39" cm="1">
        <f t="array" ref="B61">IFERROR(INDEX('Row Level Master Sheet'!$K$2:$K$1001,_xlfn.AGGREGATE(15,6,(ROW('Row Level Master Sheet'!$K$2:$K$1001)-ROW('Row Level Master Sheet'!$K$2)+1)/('Row Level Master Sheet'!$C$2:$C$1001="Traditional"),ROWS($B$2:B61))),"")</f>
        <v>0.16999999999999993</v>
      </c>
    </row>
    <row r="62" spans="1:2" x14ac:dyDescent="0.35">
      <c r="A62" cm="1">
        <f t="array" ref="A62">IFERROR(INDEX('Row Level Master Sheet'!$K$2:$K$1001,_xlfn.AGGREGATE(15,6,(ROW('Row Level Master Sheet'!$K$2:$K$1001)-ROW('Row Level Master Sheet'!$K$2)+1)/('Row Level Master Sheet'!$C$2:$C$1001="Digital"),ROWS($A$2:A62))),"")</f>
        <v>-5.0000000000000079E-2</v>
      </c>
      <c r="B62" s="39" cm="1">
        <f t="array" ref="B62">IFERROR(INDEX('Row Level Master Sheet'!$K$2:$K$1001,_xlfn.AGGREGATE(15,6,(ROW('Row Level Master Sheet'!$K$2:$K$1001)-ROW('Row Level Master Sheet'!$K$2)+1)/('Row Level Master Sheet'!$C$2:$C$1001="Traditional"),ROWS($B$2:B62))),"")</f>
        <v>0.17</v>
      </c>
    </row>
    <row r="63" spans="1:2" x14ac:dyDescent="0.35">
      <c r="A63" cm="1">
        <f t="array" ref="A63">IFERROR(INDEX('Row Level Master Sheet'!$K$2:$K$1001,_xlfn.AGGREGATE(15,6,(ROW('Row Level Master Sheet'!$K$2:$K$1001)-ROW('Row Level Master Sheet'!$K$2)+1)/('Row Level Master Sheet'!$C$2:$C$1001="Digital"),ROWS($A$2:A63))),"")</f>
        <v>-4.9999999999999996E-2</v>
      </c>
      <c r="B63" s="39" cm="1">
        <f t="array" ref="B63">IFERROR(INDEX('Row Level Master Sheet'!$K$2:$K$1001,_xlfn.AGGREGATE(15,6,(ROW('Row Level Master Sheet'!$K$2:$K$1001)-ROW('Row Level Master Sheet'!$K$2)+1)/('Row Level Master Sheet'!$C$2:$C$1001="Traditional"),ROWS($B$2:B63))),"")</f>
        <v>0.1700000000000001</v>
      </c>
    </row>
    <row r="64" spans="1:2" x14ac:dyDescent="0.35">
      <c r="A64" cm="1">
        <f t="array" ref="A64">IFERROR(INDEX('Row Level Master Sheet'!$K$2:$K$1001,_xlfn.AGGREGATE(15,6,(ROW('Row Level Master Sheet'!$K$2:$K$1001)-ROW('Row Level Master Sheet'!$K$2)+1)/('Row Level Master Sheet'!$C$2:$C$1001="Digital"),ROWS($A$2:A64))),"")</f>
        <v>-4.0000000000000119E-2</v>
      </c>
      <c r="B64" s="39" cm="1">
        <f t="array" ref="B64">IFERROR(INDEX('Row Level Master Sheet'!$K$2:$K$1001,_xlfn.AGGREGATE(15,6,(ROW('Row Level Master Sheet'!$K$2:$K$1001)-ROW('Row Level Master Sheet'!$K$2)+1)/('Row Level Master Sheet'!$C$2:$C$1001="Traditional"),ROWS($B$2:B64))),"")</f>
        <v>0.17000000000000015</v>
      </c>
    </row>
    <row r="65" spans="1:2" x14ac:dyDescent="0.35">
      <c r="A65" cm="1">
        <f t="array" ref="A65">IFERROR(INDEX('Row Level Master Sheet'!$K$2:$K$1001,_xlfn.AGGREGATE(15,6,(ROW('Row Level Master Sheet'!$K$2:$K$1001)-ROW('Row Level Master Sheet'!$K$2)+1)/('Row Level Master Sheet'!$C$2:$C$1001="Digital"),ROWS($A$2:A65))),"")</f>
        <v>-4.0000000000000098E-2</v>
      </c>
      <c r="B65" s="39" cm="1">
        <f t="array" ref="B65">IFERROR(INDEX('Row Level Master Sheet'!$K$2:$K$1001,_xlfn.AGGREGATE(15,6,(ROW('Row Level Master Sheet'!$K$2:$K$1001)-ROW('Row Level Master Sheet'!$K$2)+1)/('Row Level Master Sheet'!$C$2:$C$1001="Traditional"),ROWS($B$2:B65))),"")</f>
        <v>0.17999999999999991</v>
      </c>
    </row>
    <row r="66" spans="1:2" x14ac:dyDescent="0.35">
      <c r="A66" cm="1">
        <f t="array" ref="A66">IFERROR(INDEX('Row Level Master Sheet'!$K$2:$K$1001,_xlfn.AGGREGATE(15,6,(ROW('Row Level Master Sheet'!$K$2:$K$1001)-ROW('Row Level Master Sheet'!$K$2)+1)/('Row Level Master Sheet'!$C$2:$C$1001="Digital"),ROWS($A$2:A66))),"")</f>
        <v>-4.0000000000000084E-2</v>
      </c>
      <c r="B66" s="39" cm="1">
        <f t="array" ref="B66">IFERROR(INDEX('Row Level Master Sheet'!$K$2:$K$1001,_xlfn.AGGREGATE(15,6,(ROW('Row Level Master Sheet'!$K$2:$K$1001)-ROW('Row Level Master Sheet'!$K$2)+1)/('Row Level Master Sheet'!$C$2:$C$1001="Traditional"),ROWS($B$2:B66))),"")</f>
        <v>0.18</v>
      </c>
    </row>
    <row r="67" spans="1:2" x14ac:dyDescent="0.35">
      <c r="A67" cm="1">
        <f t="array" ref="A67">IFERROR(INDEX('Row Level Master Sheet'!$K$2:$K$1001,_xlfn.AGGREGATE(15,6,(ROW('Row Level Master Sheet'!$K$2:$K$1001)-ROW('Row Level Master Sheet'!$K$2)+1)/('Row Level Master Sheet'!$C$2:$C$1001="Digital"),ROWS($A$2:A67))),"")</f>
        <v>-3.9999999999999987E-2</v>
      </c>
      <c r="B67" s="39" cm="1">
        <f t="array" ref="B67">IFERROR(INDEX('Row Level Master Sheet'!$K$2:$K$1001,_xlfn.AGGREGATE(15,6,(ROW('Row Level Master Sheet'!$K$2:$K$1001)-ROW('Row Level Master Sheet'!$K$2)+1)/('Row Level Master Sheet'!$C$2:$C$1001="Traditional"),ROWS($B$2:B67))),"")</f>
        <v>0.18000000000000005</v>
      </c>
    </row>
    <row r="68" spans="1:2" x14ac:dyDescent="0.35">
      <c r="A68" cm="1">
        <f t="array" ref="A68">IFERROR(INDEX('Row Level Master Sheet'!$K$2:$K$1001,_xlfn.AGGREGATE(15,6,(ROW('Row Level Master Sheet'!$K$2:$K$1001)-ROW('Row Level Master Sheet'!$K$2)+1)/('Row Level Master Sheet'!$C$2:$C$1001="Digital"),ROWS($A$2:A68))),"")</f>
        <v>-3.0000000000000006E-2</v>
      </c>
      <c r="B68" s="39" cm="1">
        <f t="array" ref="B68">IFERROR(INDEX('Row Level Master Sheet'!$K$2:$K$1001,_xlfn.AGGREGATE(15,6,(ROW('Row Level Master Sheet'!$K$2:$K$1001)-ROW('Row Level Master Sheet'!$K$2)+1)/('Row Level Master Sheet'!$C$2:$C$1001="Traditional"),ROWS($B$2:B68))),"")</f>
        <v>0.18000000000000005</v>
      </c>
    </row>
    <row r="69" spans="1:2" x14ac:dyDescent="0.35">
      <c r="A69" cm="1">
        <f t="array" ref="A69">IFERROR(INDEX('Row Level Master Sheet'!$K$2:$K$1001,_xlfn.AGGREGATE(15,6,(ROW('Row Level Master Sheet'!$K$2:$K$1001)-ROW('Row Level Master Sheet'!$K$2)+1)/('Row Level Master Sheet'!$C$2:$C$1001="Digital"),ROWS($A$2:A69))),"")</f>
        <v>-2.9999999999999995E-2</v>
      </c>
      <c r="B69" s="39" cm="1">
        <f t="array" ref="B69">IFERROR(INDEX('Row Level Master Sheet'!$K$2:$K$1001,_xlfn.AGGREGATE(15,6,(ROW('Row Level Master Sheet'!$K$2:$K$1001)-ROW('Row Level Master Sheet'!$K$2)+1)/('Row Level Master Sheet'!$C$2:$C$1001="Traditional"),ROWS($B$2:B69))),"")</f>
        <v>0.19000000000000011</v>
      </c>
    </row>
    <row r="70" spans="1:2" x14ac:dyDescent="0.35">
      <c r="A70" cm="1">
        <f t="array" ref="A70">IFERROR(INDEX('Row Level Master Sheet'!$K$2:$K$1001,_xlfn.AGGREGATE(15,6,(ROW('Row Level Master Sheet'!$K$2:$K$1001)-ROW('Row Level Master Sheet'!$K$2)+1)/('Row Level Master Sheet'!$C$2:$C$1001="Digital"),ROWS($A$2:A70))),"")</f>
        <v>-2.9999999999999982E-2</v>
      </c>
      <c r="B70" s="39" cm="1">
        <f t="array" ref="B70">IFERROR(INDEX('Row Level Master Sheet'!$K$2:$K$1001,_xlfn.AGGREGATE(15,6,(ROW('Row Level Master Sheet'!$K$2:$K$1001)-ROW('Row Level Master Sheet'!$K$2)+1)/('Row Level Master Sheet'!$C$2:$C$1001="Traditional"),ROWS($B$2:B70))),"")</f>
        <v>0.1999999999999999</v>
      </c>
    </row>
    <row r="71" spans="1:2" x14ac:dyDescent="0.35">
      <c r="A71" cm="1">
        <f t="array" ref="A71">IFERROR(INDEX('Row Level Master Sheet'!$K$2:$K$1001,_xlfn.AGGREGATE(15,6,(ROW('Row Level Master Sheet'!$K$2:$K$1001)-ROW('Row Level Master Sheet'!$K$2)+1)/('Row Level Master Sheet'!$C$2:$C$1001="Digital"),ROWS($A$2:A71))),"")</f>
        <v>-2.9999999999999975E-2</v>
      </c>
      <c r="B71" s="39" cm="1">
        <f t="array" ref="B71">IFERROR(INDEX('Row Level Master Sheet'!$K$2:$K$1001,_xlfn.AGGREGATE(15,6,(ROW('Row Level Master Sheet'!$K$2:$K$1001)-ROW('Row Level Master Sheet'!$K$2)+1)/('Row Level Master Sheet'!$C$2:$C$1001="Traditional"),ROWS($B$2:B71))),"")</f>
        <v>0.19999999999999996</v>
      </c>
    </row>
    <row r="72" spans="1:2" x14ac:dyDescent="0.35">
      <c r="A72" cm="1">
        <f t="array" ref="A72">IFERROR(INDEX('Row Level Master Sheet'!$K$2:$K$1001,_xlfn.AGGREGATE(15,6,(ROW('Row Level Master Sheet'!$K$2:$K$1001)-ROW('Row Level Master Sheet'!$K$2)+1)/('Row Level Master Sheet'!$C$2:$C$1001="Digital"),ROWS($A$2:A72))),"")</f>
        <v>-2.999999999999994E-2</v>
      </c>
      <c r="B72" s="39" cm="1">
        <f t="array" ref="B72">IFERROR(INDEX('Row Level Master Sheet'!$K$2:$K$1001,_xlfn.AGGREGATE(15,6,(ROW('Row Level Master Sheet'!$K$2:$K$1001)-ROW('Row Level Master Sheet'!$K$2)+1)/('Row Level Master Sheet'!$C$2:$C$1001="Traditional"),ROWS($B$2:B72))),"")</f>
        <v>0.2</v>
      </c>
    </row>
    <row r="73" spans="1:2" x14ac:dyDescent="0.35">
      <c r="A73" cm="1">
        <f t="array" ref="A73">IFERROR(INDEX('Row Level Master Sheet'!$K$2:$K$1001,_xlfn.AGGREGATE(15,6,(ROW('Row Level Master Sheet'!$K$2:$K$1001)-ROW('Row Level Master Sheet'!$K$2)+1)/('Row Level Master Sheet'!$C$2:$C$1001="Digital"),ROWS($A$2:A73))),"")</f>
        <v>-2.000000000000016E-2</v>
      </c>
      <c r="B73" s="39" cm="1">
        <f t="array" ref="B73">IFERROR(INDEX('Row Level Master Sheet'!$K$2:$K$1001,_xlfn.AGGREGATE(15,6,(ROW('Row Level Master Sheet'!$K$2:$K$1001)-ROW('Row Level Master Sheet'!$K$2)+1)/('Row Level Master Sheet'!$C$2:$C$1001="Traditional"),ROWS($B$2:B73))),"")</f>
        <v>0.20999999999999994</v>
      </c>
    </row>
    <row r="74" spans="1:2" x14ac:dyDescent="0.35">
      <c r="A74" cm="1">
        <f t="array" ref="A74">IFERROR(INDEX('Row Level Master Sheet'!$K$2:$K$1001,_xlfn.AGGREGATE(15,6,(ROW('Row Level Master Sheet'!$K$2:$K$1001)-ROW('Row Level Master Sheet'!$K$2)+1)/('Row Level Master Sheet'!$C$2:$C$1001="Digital"),ROWS($A$2:A74))),"")</f>
        <v>-2.000000000000015E-2</v>
      </c>
      <c r="B74" s="39" cm="1">
        <f t="array" ref="B74">IFERROR(INDEX('Row Level Master Sheet'!$K$2:$K$1001,_xlfn.AGGREGATE(15,6,(ROW('Row Level Master Sheet'!$K$2:$K$1001)-ROW('Row Level Master Sheet'!$K$2)+1)/('Row Level Master Sheet'!$C$2:$C$1001="Traditional"),ROWS($B$2:B74))),"")</f>
        <v>0.20999999999999994</v>
      </c>
    </row>
    <row r="75" spans="1:2" x14ac:dyDescent="0.35">
      <c r="A75" cm="1">
        <f t="array" ref="A75">IFERROR(INDEX('Row Level Master Sheet'!$K$2:$K$1001,_xlfn.AGGREGATE(15,6,(ROW('Row Level Master Sheet'!$K$2:$K$1001)-ROW('Row Level Master Sheet'!$K$2)+1)/('Row Level Master Sheet'!$C$2:$C$1001="Digital"),ROWS($A$2:A75))),"")</f>
        <v>-2.0000000000000084E-2</v>
      </c>
      <c r="B75" s="39" cm="1">
        <f t="array" ref="B75">IFERROR(INDEX('Row Level Master Sheet'!$K$2:$K$1001,_xlfn.AGGREGATE(15,6,(ROW('Row Level Master Sheet'!$K$2:$K$1001)-ROW('Row Level Master Sheet'!$K$2)+1)/('Row Level Master Sheet'!$C$2:$C$1001="Traditional"),ROWS($B$2:B75))),"")</f>
        <v>0.20999999999999996</v>
      </c>
    </row>
    <row r="76" spans="1:2" x14ac:dyDescent="0.35">
      <c r="A76" cm="1">
        <f t="array" ref="A76">IFERROR(INDEX('Row Level Master Sheet'!$K$2:$K$1001,_xlfn.AGGREGATE(15,6,(ROW('Row Level Master Sheet'!$K$2:$K$1001)-ROW('Row Level Master Sheet'!$K$2)+1)/('Row Level Master Sheet'!$C$2:$C$1001="Digital"),ROWS($A$2:A76))),"")</f>
        <v>-2.0000000000000011E-2</v>
      </c>
      <c r="B76" s="39" cm="1">
        <f t="array" ref="B76">IFERROR(INDEX('Row Level Master Sheet'!$K$2:$K$1001,_xlfn.AGGREGATE(15,6,(ROW('Row Level Master Sheet'!$K$2:$K$1001)-ROW('Row Level Master Sheet'!$K$2)+1)/('Row Level Master Sheet'!$C$2:$C$1001="Traditional"),ROWS($B$2:B76))),"")</f>
        <v>0.20999999999999996</v>
      </c>
    </row>
    <row r="77" spans="1:2" x14ac:dyDescent="0.35">
      <c r="A77" cm="1">
        <f t="array" ref="A77">IFERROR(INDEX('Row Level Master Sheet'!$K$2:$K$1001,_xlfn.AGGREGATE(15,6,(ROW('Row Level Master Sheet'!$K$2:$K$1001)-ROW('Row Level Master Sheet'!$K$2)+1)/('Row Level Master Sheet'!$C$2:$C$1001="Digital"),ROWS($A$2:A77))),"")</f>
        <v>-1.9999999999999941E-2</v>
      </c>
      <c r="B77" s="39" cm="1">
        <f t="array" ref="B77">IFERROR(INDEX('Row Level Master Sheet'!$K$2:$K$1001,_xlfn.AGGREGATE(15,6,(ROW('Row Level Master Sheet'!$K$2:$K$1001)-ROW('Row Level Master Sheet'!$K$2)+1)/('Row Level Master Sheet'!$C$2:$C$1001="Traditional"),ROWS($B$2:B77))),"")</f>
        <v>0.21000000000000005</v>
      </c>
    </row>
    <row r="78" spans="1:2" x14ac:dyDescent="0.35">
      <c r="A78" cm="1">
        <f t="array" ref="A78">IFERROR(INDEX('Row Level Master Sheet'!$K$2:$K$1001,_xlfn.AGGREGATE(15,6,(ROW('Row Level Master Sheet'!$K$2:$K$1001)-ROW('Row Level Master Sheet'!$K$2)+1)/('Row Level Master Sheet'!$C$2:$C$1001="Digital"),ROWS($A$2:A78))),"")</f>
        <v>-1.0000000000000089E-2</v>
      </c>
      <c r="B78" s="39" cm="1">
        <f t="array" ref="B78">IFERROR(INDEX('Row Level Master Sheet'!$K$2:$K$1001,_xlfn.AGGREGATE(15,6,(ROW('Row Level Master Sheet'!$K$2:$K$1001)-ROW('Row Level Master Sheet'!$K$2)+1)/('Row Level Master Sheet'!$C$2:$C$1001="Traditional"),ROWS($B$2:B78))),"")</f>
        <v>0.22000000000000006</v>
      </c>
    </row>
    <row r="79" spans="1:2" x14ac:dyDescent="0.35">
      <c r="A79" cm="1">
        <f t="array" ref="A79">IFERROR(INDEX('Row Level Master Sheet'!$K$2:$K$1001,_xlfn.AGGREGATE(15,6,(ROW('Row Level Master Sheet'!$K$2:$K$1001)-ROW('Row Level Master Sheet'!$K$2)+1)/('Row Level Master Sheet'!$C$2:$C$1001="Digital"),ROWS($A$2:A79))),"")</f>
        <v>-1.0000000000000002E-2</v>
      </c>
      <c r="B79" s="39" cm="1">
        <f t="array" ref="B79">IFERROR(INDEX('Row Level Master Sheet'!$K$2:$K$1001,_xlfn.AGGREGATE(15,6,(ROW('Row Level Master Sheet'!$K$2:$K$1001)-ROW('Row Level Master Sheet'!$K$2)+1)/('Row Level Master Sheet'!$C$2:$C$1001="Traditional"),ROWS($B$2:B79))),"")</f>
        <v>0.23000000000000009</v>
      </c>
    </row>
    <row r="80" spans="1:2" x14ac:dyDescent="0.35">
      <c r="A80" cm="1">
        <f t="array" ref="A80">IFERROR(INDEX('Row Level Master Sheet'!$K$2:$K$1001,_xlfn.AGGREGATE(15,6,(ROW('Row Level Master Sheet'!$K$2:$K$1001)-ROW('Row Level Master Sheet'!$K$2)+1)/('Row Level Master Sheet'!$C$2:$C$1001="Digital"),ROWS($A$2:A80))),"")</f>
        <v>-9.999999999999995E-3</v>
      </c>
      <c r="B80" s="39" cm="1">
        <f t="array" ref="B80">IFERROR(INDEX('Row Level Master Sheet'!$K$2:$K$1001,_xlfn.AGGREGATE(15,6,(ROW('Row Level Master Sheet'!$K$2:$K$1001)-ROW('Row Level Master Sheet'!$K$2)+1)/('Row Level Master Sheet'!$C$2:$C$1001="Traditional"),ROWS($B$2:B80))),"")</f>
        <v>0.23999999999999994</v>
      </c>
    </row>
    <row r="81" spans="1:2" x14ac:dyDescent="0.35">
      <c r="A81" cm="1">
        <f t="array" ref="A81">IFERROR(INDEX('Row Level Master Sheet'!$K$2:$K$1001,_xlfn.AGGREGATE(15,6,(ROW('Row Level Master Sheet'!$K$2:$K$1001)-ROW('Row Level Master Sheet'!$K$2)+1)/('Row Level Master Sheet'!$C$2:$C$1001="Digital"),ROWS($A$2:A81))),"")</f>
        <v>-9.9999999999999915E-3</v>
      </c>
      <c r="B81" s="39" cm="1">
        <f t="array" ref="B81">IFERROR(INDEX('Row Level Master Sheet'!$K$2:$K$1001,_xlfn.AGGREGATE(15,6,(ROW('Row Level Master Sheet'!$K$2:$K$1001)-ROW('Row Level Master Sheet'!$K$2)+1)/('Row Level Master Sheet'!$C$2:$C$1001="Traditional"),ROWS($B$2:B81))),"")</f>
        <v>0.24000000000000016</v>
      </c>
    </row>
    <row r="82" spans="1:2" x14ac:dyDescent="0.35">
      <c r="A82" cm="1">
        <f t="array" ref="A82">IFERROR(INDEX('Row Level Master Sheet'!$K$2:$K$1001,_xlfn.AGGREGATE(15,6,(ROW('Row Level Master Sheet'!$K$2:$K$1001)-ROW('Row Level Master Sheet'!$K$2)+1)/('Row Level Master Sheet'!$C$2:$C$1001="Digital"),ROWS($A$2:A82))),"")</f>
        <v>0</v>
      </c>
      <c r="B82" s="39" cm="1">
        <f t="array" ref="B82">IFERROR(INDEX('Row Level Master Sheet'!$K$2:$K$1001,_xlfn.AGGREGATE(15,6,(ROW('Row Level Master Sheet'!$K$2:$K$1001)-ROW('Row Level Master Sheet'!$K$2)+1)/('Row Level Master Sheet'!$C$2:$C$1001="Traditional"),ROWS($B$2:B82))),"")</f>
        <v>0.24999999999999994</v>
      </c>
    </row>
    <row r="83" spans="1:2" x14ac:dyDescent="0.35">
      <c r="A83" cm="1">
        <f t="array" ref="A83">IFERROR(INDEX('Row Level Master Sheet'!$K$2:$K$1001,_xlfn.AGGREGATE(15,6,(ROW('Row Level Master Sheet'!$K$2:$K$1001)-ROW('Row Level Master Sheet'!$K$2)+1)/('Row Level Master Sheet'!$C$2:$C$1001="Digital"),ROWS($A$2:A83))),"")</f>
        <v>0</v>
      </c>
      <c r="B83" s="39" cm="1">
        <f t="array" ref="B83">IFERROR(INDEX('Row Level Master Sheet'!$K$2:$K$1001,_xlfn.AGGREGATE(15,6,(ROW('Row Level Master Sheet'!$K$2:$K$1001)-ROW('Row Level Master Sheet'!$K$2)+1)/('Row Level Master Sheet'!$C$2:$C$1001="Traditional"),ROWS($B$2:B83))),"")</f>
        <v>0.25</v>
      </c>
    </row>
    <row r="84" spans="1:2" x14ac:dyDescent="0.35">
      <c r="A84" cm="1">
        <f t="array" ref="A84">IFERROR(INDEX('Row Level Master Sheet'!$K$2:$K$1001,_xlfn.AGGREGATE(15,6,(ROW('Row Level Master Sheet'!$K$2:$K$1001)-ROW('Row Level Master Sheet'!$K$2)+1)/('Row Level Master Sheet'!$C$2:$C$1001="Digital"),ROWS($A$2:A84))),"")</f>
        <v>0</v>
      </c>
      <c r="B84" s="39" cm="1">
        <f t="array" ref="B84">IFERROR(INDEX('Row Level Master Sheet'!$K$2:$K$1001,_xlfn.AGGREGATE(15,6,(ROW('Row Level Master Sheet'!$K$2:$K$1001)-ROW('Row Level Master Sheet'!$K$2)+1)/('Row Level Master Sheet'!$C$2:$C$1001="Traditional"),ROWS($B$2:B84))),"")</f>
        <v>0.25000000000000006</v>
      </c>
    </row>
    <row r="85" spans="1:2" x14ac:dyDescent="0.35">
      <c r="A85" cm="1">
        <f t="array" ref="A85">IFERROR(INDEX('Row Level Master Sheet'!$K$2:$K$1001,_xlfn.AGGREGATE(15,6,(ROW('Row Level Master Sheet'!$K$2:$K$1001)-ROW('Row Level Master Sheet'!$K$2)+1)/('Row Level Master Sheet'!$C$2:$C$1001="Digital"),ROWS($A$2:A85))),"")</f>
        <v>0</v>
      </c>
      <c r="B85" s="39" cm="1">
        <f t="array" ref="B85">IFERROR(INDEX('Row Level Master Sheet'!$K$2:$K$1001,_xlfn.AGGREGATE(15,6,(ROW('Row Level Master Sheet'!$K$2:$K$1001)-ROW('Row Level Master Sheet'!$K$2)+1)/('Row Level Master Sheet'!$C$2:$C$1001="Traditional"),ROWS($B$2:B85))),"")</f>
        <v>0.25000000000000011</v>
      </c>
    </row>
    <row r="86" spans="1:2" x14ac:dyDescent="0.35">
      <c r="A86" cm="1">
        <f t="array" ref="A86">IFERROR(INDEX('Row Level Master Sheet'!$K$2:$K$1001,_xlfn.AGGREGATE(15,6,(ROW('Row Level Master Sheet'!$K$2:$K$1001)-ROW('Row Level Master Sheet'!$K$2)+1)/('Row Level Master Sheet'!$C$2:$C$1001="Digital"),ROWS($A$2:A86))),"")</f>
        <v>0</v>
      </c>
      <c r="B86" s="39" cm="1">
        <f t="array" ref="B86">IFERROR(INDEX('Row Level Master Sheet'!$K$2:$K$1001,_xlfn.AGGREGATE(15,6,(ROW('Row Level Master Sheet'!$K$2:$K$1001)-ROW('Row Level Master Sheet'!$K$2)+1)/('Row Level Master Sheet'!$C$2:$C$1001="Traditional"),ROWS($B$2:B86))),"")</f>
        <v>0.25999999999999995</v>
      </c>
    </row>
    <row r="87" spans="1:2" x14ac:dyDescent="0.35">
      <c r="A87" cm="1">
        <f t="array" ref="A87">IFERROR(INDEX('Row Level Master Sheet'!$K$2:$K$1001,_xlfn.AGGREGATE(15,6,(ROW('Row Level Master Sheet'!$K$2:$K$1001)-ROW('Row Level Master Sheet'!$K$2)+1)/('Row Level Master Sheet'!$C$2:$C$1001="Digital"),ROWS($A$2:A87))),"")</f>
        <v>0</v>
      </c>
      <c r="B87" s="39" cm="1">
        <f t="array" ref="B87">IFERROR(INDEX('Row Level Master Sheet'!$K$2:$K$1001,_xlfn.AGGREGATE(15,6,(ROW('Row Level Master Sheet'!$K$2:$K$1001)-ROW('Row Level Master Sheet'!$K$2)+1)/('Row Level Master Sheet'!$C$2:$C$1001="Traditional"),ROWS($B$2:B87))),"")</f>
        <v>0.25999999999999995</v>
      </c>
    </row>
    <row r="88" spans="1:2" x14ac:dyDescent="0.35">
      <c r="A88" cm="1">
        <f t="array" ref="A88">IFERROR(INDEX('Row Level Master Sheet'!$K$2:$K$1001,_xlfn.AGGREGATE(15,6,(ROW('Row Level Master Sheet'!$K$2:$K$1001)-ROW('Row Level Master Sheet'!$K$2)+1)/('Row Level Master Sheet'!$C$2:$C$1001="Digital"),ROWS($A$2:A88))),"")</f>
        <v>0</v>
      </c>
      <c r="B88" s="39" cm="1">
        <f t="array" ref="B88">IFERROR(INDEX('Row Level Master Sheet'!$K$2:$K$1001,_xlfn.AGGREGATE(15,6,(ROW('Row Level Master Sheet'!$K$2:$K$1001)-ROW('Row Level Master Sheet'!$K$2)+1)/('Row Level Master Sheet'!$C$2:$C$1001="Traditional"),ROWS($B$2:B88))),"")</f>
        <v>0.26999999999999996</v>
      </c>
    </row>
    <row r="89" spans="1:2" x14ac:dyDescent="0.35">
      <c r="A89" cm="1">
        <f t="array" ref="A89">IFERROR(INDEX('Row Level Master Sheet'!$K$2:$K$1001,_xlfn.AGGREGATE(15,6,(ROW('Row Level Master Sheet'!$K$2:$K$1001)-ROW('Row Level Master Sheet'!$K$2)+1)/('Row Level Master Sheet'!$C$2:$C$1001="Digital"),ROWS($A$2:A89))),"")</f>
        <v>0</v>
      </c>
      <c r="B89" s="39" cm="1">
        <f t="array" ref="B89">IFERROR(INDEX('Row Level Master Sheet'!$K$2:$K$1001,_xlfn.AGGREGATE(15,6,(ROW('Row Level Master Sheet'!$K$2:$K$1001)-ROW('Row Level Master Sheet'!$K$2)+1)/('Row Level Master Sheet'!$C$2:$C$1001="Traditional"),ROWS($B$2:B89))),"")</f>
        <v>0.27999999999999992</v>
      </c>
    </row>
    <row r="90" spans="1:2" x14ac:dyDescent="0.35">
      <c r="A90" cm="1">
        <f t="array" ref="A90">IFERROR(INDEX('Row Level Master Sheet'!$K$2:$K$1001,_xlfn.AGGREGATE(15,6,(ROW('Row Level Master Sheet'!$K$2:$K$1001)-ROW('Row Level Master Sheet'!$K$2)+1)/('Row Level Master Sheet'!$C$2:$C$1001="Digital"),ROWS($A$2:A90))),"")</f>
        <v>9.9999999999998996E-3</v>
      </c>
      <c r="B90" s="39" cm="1">
        <f t="array" ref="B90">IFERROR(INDEX('Row Level Master Sheet'!$K$2:$K$1001,_xlfn.AGGREGATE(15,6,(ROW('Row Level Master Sheet'!$K$2:$K$1001)-ROW('Row Level Master Sheet'!$K$2)+1)/('Row Level Master Sheet'!$C$2:$C$1001="Traditional"),ROWS($B$2:B90))),"")</f>
        <v>0.27999999999999992</v>
      </c>
    </row>
    <row r="91" spans="1:2" x14ac:dyDescent="0.35">
      <c r="A91" cm="1">
        <f t="array" ref="A91">IFERROR(INDEX('Row Level Master Sheet'!$K$2:$K$1001,_xlfn.AGGREGATE(15,6,(ROW('Row Level Master Sheet'!$K$2:$K$1001)-ROW('Row Level Master Sheet'!$K$2)+1)/('Row Level Master Sheet'!$C$2:$C$1001="Digital"),ROWS($A$2:A91))),"")</f>
        <v>9.9999999999999412E-3</v>
      </c>
      <c r="B91" s="39" cm="1">
        <f t="array" ref="B91">IFERROR(INDEX('Row Level Master Sheet'!$K$2:$K$1001,_xlfn.AGGREGATE(15,6,(ROW('Row Level Master Sheet'!$K$2:$K$1001)-ROW('Row Level Master Sheet'!$K$2)+1)/('Row Level Master Sheet'!$C$2:$C$1001="Traditional"),ROWS($B$2:B91))),"")</f>
        <v>0.27999999999999997</v>
      </c>
    </row>
    <row r="92" spans="1:2" x14ac:dyDescent="0.35">
      <c r="A92" cm="1">
        <f t="array" ref="A92">IFERROR(INDEX('Row Level Master Sheet'!$K$2:$K$1001,_xlfn.AGGREGATE(15,6,(ROW('Row Level Master Sheet'!$K$2:$K$1001)-ROW('Row Level Master Sheet'!$K$2)+1)/('Row Level Master Sheet'!$C$2:$C$1001="Digital"),ROWS($A$2:A92))),"")</f>
        <v>9.9999999999999811E-3</v>
      </c>
      <c r="B92" s="39" cm="1">
        <f t="array" ref="B92">IFERROR(INDEX('Row Level Master Sheet'!$K$2:$K$1001,_xlfn.AGGREGATE(15,6,(ROW('Row Level Master Sheet'!$K$2:$K$1001)-ROW('Row Level Master Sheet'!$K$2)+1)/('Row Level Master Sheet'!$C$2:$C$1001="Traditional"),ROWS($B$2:B92))),"")</f>
        <v>0.28000000000000003</v>
      </c>
    </row>
    <row r="93" spans="1:2" x14ac:dyDescent="0.35">
      <c r="A93" cm="1">
        <f t="array" ref="A93">IFERROR(INDEX('Row Level Master Sheet'!$K$2:$K$1001,_xlfn.AGGREGATE(15,6,(ROW('Row Level Master Sheet'!$K$2:$K$1001)-ROW('Row Level Master Sheet'!$K$2)+1)/('Row Level Master Sheet'!$C$2:$C$1001="Digital"),ROWS($A$2:A93))),"")</f>
        <v>9.9999999999999829E-3</v>
      </c>
      <c r="B93" s="39" cm="1">
        <f t="array" ref="B93">IFERROR(INDEX('Row Level Master Sheet'!$K$2:$K$1001,_xlfn.AGGREGATE(15,6,(ROW('Row Level Master Sheet'!$K$2:$K$1001)-ROW('Row Level Master Sheet'!$K$2)+1)/('Row Level Master Sheet'!$C$2:$C$1001="Traditional"),ROWS($B$2:B93))),"")</f>
        <v>0.28999999999999992</v>
      </c>
    </row>
    <row r="94" spans="1:2" x14ac:dyDescent="0.35">
      <c r="A94" cm="1">
        <f t="array" ref="A94">IFERROR(INDEX('Row Level Master Sheet'!$K$2:$K$1001,_xlfn.AGGREGATE(15,6,(ROW('Row Level Master Sheet'!$K$2:$K$1001)-ROW('Row Level Master Sheet'!$K$2)+1)/('Row Level Master Sheet'!$C$2:$C$1001="Digital"),ROWS($A$2:A94))),"")</f>
        <v>9.999999999999995E-3</v>
      </c>
      <c r="B94" s="39" cm="1">
        <f t="array" ref="B94">IFERROR(INDEX('Row Level Master Sheet'!$K$2:$K$1001,_xlfn.AGGREGATE(15,6,(ROW('Row Level Master Sheet'!$K$2:$K$1001)-ROW('Row Level Master Sheet'!$K$2)+1)/('Row Level Master Sheet'!$C$2:$C$1001="Traditional"),ROWS($B$2:B94))),"")</f>
        <v>0.3000000000000001</v>
      </c>
    </row>
    <row r="95" spans="1:2" x14ac:dyDescent="0.35">
      <c r="A95" cm="1">
        <f t="array" ref="A95">IFERROR(INDEX('Row Level Master Sheet'!$K$2:$K$1001,_xlfn.AGGREGATE(15,6,(ROW('Row Level Master Sheet'!$K$2:$K$1001)-ROW('Row Level Master Sheet'!$K$2)+1)/('Row Level Master Sheet'!$C$2:$C$1001="Digital"),ROWS($A$2:A95))),"")</f>
        <v>1.0000000000000018E-2</v>
      </c>
      <c r="B95" s="39" cm="1">
        <f t="array" ref="B95">IFERROR(INDEX('Row Level Master Sheet'!$K$2:$K$1001,_xlfn.AGGREGATE(15,6,(ROW('Row Level Master Sheet'!$K$2:$K$1001)-ROW('Row Level Master Sheet'!$K$2)+1)/('Row Level Master Sheet'!$C$2:$C$1001="Traditional"),ROWS($B$2:B95))),"")</f>
        <v>0.31</v>
      </c>
    </row>
    <row r="96" spans="1:2" x14ac:dyDescent="0.35">
      <c r="A96" cm="1">
        <f t="array" ref="A96">IFERROR(INDEX('Row Level Master Sheet'!$K$2:$K$1001,_xlfn.AGGREGATE(15,6,(ROW('Row Level Master Sheet'!$K$2:$K$1001)-ROW('Row Level Master Sheet'!$K$2)+1)/('Row Level Master Sheet'!$C$2:$C$1001="Digital"),ROWS($A$2:A96))),"")</f>
        <v>1.0000000000000026E-2</v>
      </c>
      <c r="B96" s="39" cm="1">
        <f t="array" ref="B96">IFERROR(INDEX('Row Level Master Sheet'!$K$2:$K$1001,_xlfn.AGGREGATE(15,6,(ROW('Row Level Master Sheet'!$K$2:$K$1001)-ROW('Row Level Master Sheet'!$K$2)+1)/('Row Level Master Sheet'!$C$2:$C$1001="Traditional"),ROWS($B$2:B96))),"")</f>
        <v>0.31000000000000005</v>
      </c>
    </row>
    <row r="97" spans="1:2" x14ac:dyDescent="0.35">
      <c r="A97" cm="1">
        <f t="array" ref="A97">IFERROR(INDEX('Row Level Master Sheet'!$K$2:$K$1001,_xlfn.AGGREGATE(15,6,(ROW('Row Level Master Sheet'!$K$2:$K$1001)-ROW('Row Level Master Sheet'!$K$2)+1)/('Row Level Master Sheet'!$C$2:$C$1001="Digital"),ROWS($A$2:A97))),"")</f>
        <v>1.0000000000000082E-2</v>
      </c>
      <c r="B97" s="39" cm="1">
        <f t="array" ref="B97">IFERROR(INDEX('Row Level Master Sheet'!$K$2:$K$1001,_xlfn.AGGREGATE(15,6,(ROW('Row Level Master Sheet'!$K$2:$K$1001)-ROW('Row Level Master Sheet'!$K$2)+1)/('Row Level Master Sheet'!$C$2:$C$1001="Traditional"),ROWS($B$2:B97))),"")</f>
        <v>0.32</v>
      </c>
    </row>
    <row r="98" spans="1:2" x14ac:dyDescent="0.35">
      <c r="A98" cm="1">
        <f t="array" ref="A98">IFERROR(INDEX('Row Level Master Sheet'!$K$2:$K$1001,_xlfn.AGGREGATE(15,6,(ROW('Row Level Master Sheet'!$K$2:$K$1001)-ROW('Row Level Master Sheet'!$K$2)+1)/('Row Level Master Sheet'!$C$2:$C$1001="Digital"),ROWS($A$2:A98))),"")</f>
        <v>1.9999999999999938E-2</v>
      </c>
      <c r="B98" s="39" cm="1">
        <f t="array" ref="B98">IFERROR(INDEX('Row Level Master Sheet'!$K$2:$K$1001,_xlfn.AGGREGATE(15,6,(ROW('Row Level Master Sheet'!$K$2:$K$1001)-ROW('Row Level Master Sheet'!$K$2)+1)/('Row Level Master Sheet'!$C$2:$C$1001="Traditional"),ROWS($B$2:B98))),"")</f>
        <v>0.32000000000000006</v>
      </c>
    </row>
    <row r="99" spans="1:2" x14ac:dyDescent="0.35">
      <c r="A99" cm="1">
        <f t="array" ref="A99">IFERROR(INDEX('Row Level Master Sheet'!$K$2:$K$1001,_xlfn.AGGREGATE(15,6,(ROW('Row Level Master Sheet'!$K$2:$K$1001)-ROW('Row Level Master Sheet'!$K$2)+1)/('Row Level Master Sheet'!$C$2:$C$1001="Digital"),ROWS($A$2:A99))),"")</f>
        <v>1.9999999999999966E-2</v>
      </c>
      <c r="B99" s="39" cm="1">
        <f t="array" ref="B99">IFERROR(INDEX('Row Level Master Sheet'!$K$2:$K$1001,_xlfn.AGGREGATE(15,6,(ROW('Row Level Master Sheet'!$K$2:$K$1001)-ROW('Row Level Master Sheet'!$K$2)+1)/('Row Level Master Sheet'!$C$2:$C$1001="Traditional"),ROWS($B$2:B99))),"")</f>
        <v>0.32000000000000012</v>
      </c>
    </row>
    <row r="100" spans="1:2" x14ac:dyDescent="0.35">
      <c r="A100" cm="1">
        <f t="array" ref="A100">IFERROR(INDEX('Row Level Master Sheet'!$K$2:$K$1001,_xlfn.AGGREGATE(15,6,(ROW('Row Level Master Sheet'!$K$2:$K$1001)-ROW('Row Level Master Sheet'!$K$2)+1)/('Row Level Master Sheet'!$C$2:$C$1001="Digital"),ROWS($A$2:A100))),"")</f>
        <v>1.9999999999999976E-2</v>
      </c>
      <c r="B100" s="39" cm="1">
        <f t="array" ref="B100">IFERROR(INDEX('Row Level Master Sheet'!$K$2:$K$1001,_xlfn.AGGREGATE(15,6,(ROW('Row Level Master Sheet'!$K$2:$K$1001)-ROW('Row Level Master Sheet'!$K$2)+1)/('Row Level Master Sheet'!$C$2:$C$1001="Traditional"),ROWS($B$2:B100))),"")</f>
        <v>0.32999999999999996</v>
      </c>
    </row>
    <row r="101" spans="1:2" x14ac:dyDescent="0.35">
      <c r="A101" cm="1">
        <f t="array" ref="A101">IFERROR(INDEX('Row Level Master Sheet'!$K$2:$K$1001,_xlfn.AGGREGATE(15,6,(ROW('Row Level Master Sheet'!$K$2:$K$1001)-ROW('Row Level Master Sheet'!$K$2)+1)/('Row Level Master Sheet'!$C$2:$C$1001="Digital"),ROWS($A$2:A101))),"")</f>
        <v>1.9999999999999983E-2</v>
      </c>
      <c r="B101" s="39" cm="1">
        <f t="array" ref="B101">IFERROR(INDEX('Row Level Master Sheet'!$K$2:$K$1001,_xlfn.AGGREGATE(15,6,(ROW('Row Level Master Sheet'!$K$2:$K$1001)-ROW('Row Level Master Sheet'!$K$2)+1)/('Row Level Master Sheet'!$C$2:$C$1001="Traditional"),ROWS($B$2:B101))),"")</f>
        <v>0.33999999999999997</v>
      </c>
    </row>
    <row r="102" spans="1:2" x14ac:dyDescent="0.35">
      <c r="A102" cm="1">
        <f t="array" ref="A102">IFERROR(INDEX('Row Level Master Sheet'!$K$2:$K$1001,_xlfn.AGGREGATE(15,6,(ROW('Row Level Master Sheet'!$K$2:$K$1001)-ROW('Row Level Master Sheet'!$K$2)+1)/('Row Level Master Sheet'!$C$2:$C$1001="Digital"),ROWS($A$2:A102))),"")</f>
        <v>2.000000000000008E-2</v>
      </c>
      <c r="B102" s="39" cm="1">
        <f t="array" ref="B102">IFERROR(INDEX('Row Level Master Sheet'!$K$2:$K$1001,_xlfn.AGGREGATE(15,6,(ROW('Row Level Master Sheet'!$K$2:$K$1001)-ROW('Row Level Master Sheet'!$K$2)+1)/('Row Level Master Sheet'!$C$2:$C$1001="Traditional"),ROWS($B$2:B102))),"")</f>
        <v>0.33999999999999997</v>
      </c>
    </row>
    <row r="103" spans="1:2" x14ac:dyDescent="0.35">
      <c r="A103" cm="1">
        <f t="array" ref="A103">IFERROR(INDEX('Row Level Master Sheet'!$K$2:$K$1001,_xlfn.AGGREGATE(15,6,(ROW('Row Level Master Sheet'!$K$2:$K$1001)-ROW('Row Level Master Sheet'!$K$2)+1)/('Row Level Master Sheet'!$C$2:$C$1001="Digital"),ROWS($A$2:A103))),"")</f>
        <v>2.9999999999999846E-2</v>
      </c>
      <c r="B103" s="39" cm="1">
        <f t="array" ref="B103">IFERROR(INDEX('Row Level Master Sheet'!$K$2:$K$1001,_xlfn.AGGREGATE(15,6,(ROW('Row Level Master Sheet'!$K$2:$K$1001)-ROW('Row Level Master Sheet'!$K$2)+1)/('Row Level Master Sheet'!$C$2:$C$1001="Traditional"),ROWS($B$2:B103))),"")</f>
        <v>0.33999999999999997</v>
      </c>
    </row>
    <row r="104" spans="1:2" x14ac:dyDescent="0.35">
      <c r="A104" cm="1">
        <f t="array" ref="A104">IFERROR(INDEX('Row Level Master Sheet'!$K$2:$K$1001,_xlfn.AGGREGATE(15,6,(ROW('Row Level Master Sheet'!$K$2:$K$1001)-ROW('Row Level Master Sheet'!$K$2)+1)/('Row Level Master Sheet'!$C$2:$C$1001="Digital"),ROWS($A$2:A104))),"")</f>
        <v>2.9999999999999891E-2</v>
      </c>
      <c r="B104" s="39" cm="1">
        <f t="array" ref="B104">IFERROR(INDEX('Row Level Master Sheet'!$K$2:$K$1001,_xlfn.AGGREGATE(15,6,(ROW('Row Level Master Sheet'!$K$2:$K$1001)-ROW('Row Level Master Sheet'!$K$2)+1)/('Row Level Master Sheet'!$C$2:$C$1001="Traditional"),ROWS($B$2:B104))),"")</f>
        <v>0.34000000000000008</v>
      </c>
    </row>
    <row r="105" spans="1:2" x14ac:dyDescent="0.35">
      <c r="A105" cm="1">
        <f t="array" ref="A105">IFERROR(INDEX('Row Level Master Sheet'!$K$2:$K$1001,_xlfn.AGGREGATE(15,6,(ROW('Row Level Master Sheet'!$K$2:$K$1001)-ROW('Row Level Master Sheet'!$K$2)+1)/('Row Level Master Sheet'!$C$2:$C$1001="Digital"),ROWS($A$2:A105))),"")</f>
        <v>2.9999999999999995E-2</v>
      </c>
      <c r="B105" s="39" cm="1">
        <f t="array" ref="B105">IFERROR(INDEX('Row Level Master Sheet'!$K$2:$K$1001,_xlfn.AGGREGATE(15,6,(ROW('Row Level Master Sheet'!$K$2:$K$1001)-ROW('Row Level Master Sheet'!$K$2)+1)/('Row Level Master Sheet'!$C$2:$C$1001="Traditional"),ROWS($B$2:B105))),"")</f>
        <v>0.34999999999999981</v>
      </c>
    </row>
    <row r="106" spans="1:2" x14ac:dyDescent="0.35">
      <c r="A106" cm="1">
        <f t="array" ref="A106">IFERROR(INDEX('Row Level Master Sheet'!$K$2:$K$1001,_xlfn.AGGREGATE(15,6,(ROW('Row Level Master Sheet'!$K$2:$K$1001)-ROW('Row Level Master Sheet'!$K$2)+1)/('Row Level Master Sheet'!$C$2:$C$1001="Digital"),ROWS($A$2:A106))),"")</f>
        <v>0.03</v>
      </c>
      <c r="B106" s="39" cm="1">
        <f t="array" ref="B106">IFERROR(INDEX('Row Level Master Sheet'!$K$2:$K$1001,_xlfn.AGGREGATE(15,6,(ROW('Row Level Master Sheet'!$K$2:$K$1001)-ROW('Row Level Master Sheet'!$K$2)+1)/('Row Level Master Sheet'!$C$2:$C$1001="Traditional"),ROWS($B$2:B106))),"")</f>
        <v>0.34999999999999987</v>
      </c>
    </row>
    <row r="107" spans="1:2" x14ac:dyDescent="0.35">
      <c r="A107" cm="1">
        <f t="array" ref="A107">IFERROR(INDEX('Row Level Master Sheet'!$K$2:$K$1001,_xlfn.AGGREGATE(15,6,(ROW('Row Level Master Sheet'!$K$2:$K$1001)-ROW('Row Level Master Sheet'!$K$2)+1)/('Row Level Master Sheet'!$C$2:$C$1001="Digital"),ROWS($A$2:A107))),"")</f>
        <v>0.03</v>
      </c>
      <c r="B107" s="39" cm="1">
        <f t="array" ref="B107">IFERROR(INDEX('Row Level Master Sheet'!$K$2:$K$1001,_xlfn.AGGREGATE(15,6,(ROW('Row Level Master Sheet'!$K$2:$K$1001)-ROW('Row Level Master Sheet'!$K$2)+1)/('Row Level Master Sheet'!$C$2:$C$1001="Traditional"),ROWS($B$2:B107))),"")</f>
        <v>0.34999999999999992</v>
      </c>
    </row>
    <row r="108" spans="1:2" x14ac:dyDescent="0.35">
      <c r="A108" cm="1">
        <f t="array" ref="A108">IFERROR(INDEX('Row Level Master Sheet'!$K$2:$K$1001,_xlfn.AGGREGATE(15,6,(ROW('Row Level Master Sheet'!$K$2:$K$1001)-ROW('Row Level Master Sheet'!$K$2)+1)/('Row Level Master Sheet'!$C$2:$C$1001="Digital"),ROWS($A$2:A108))),"")</f>
        <v>3.0000000000000034E-2</v>
      </c>
      <c r="B108" s="39" cm="1">
        <f t="array" ref="B108">IFERROR(INDEX('Row Level Master Sheet'!$K$2:$K$1001,_xlfn.AGGREGATE(15,6,(ROW('Row Level Master Sheet'!$K$2:$K$1001)-ROW('Row Level Master Sheet'!$K$2)+1)/('Row Level Master Sheet'!$C$2:$C$1001="Traditional"),ROWS($B$2:B108))),"")</f>
        <v>0.36000000000000004</v>
      </c>
    </row>
    <row r="109" spans="1:2" x14ac:dyDescent="0.35">
      <c r="A109" cm="1">
        <f t="array" ref="A109">IFERROR(INDEX('Row Level Master Sheet'!$K$2:$K$1001,_xlfn.AGGREGATE(15,6,(ROW('Row Level Master Sheet'!$K$2:$K$1001)-ROW('Row Level Master Sheet'!$K$2)+1)/('Row Level Master Sheet'!$C$2:$C$1001="Digital"),ROWS($A$2:A109))),"")</f>
        <v>3.0000000000000068E-2</v>
      </c>
      <c r="B109" s="39" cm="1">
        <f t="array" ref="B109">IFERROR(INDEX('Row Level Master Sheet'!$K$2:$K$1001,_xlfn.AGGREGATE(15,6,(ROW('Row Level Master Sheet'!$K$2:$K$1001)-ROW('Row Level Master Sheet'!$K$2)+1)/('Row Level Master Sheet'!$C$2:$C$1001="Traditional"),ROWS($B$2:B109))),"")</f>
        <v>0.36000000000000004</v>
      </c>
    </row>
    <row r="110" spans="1:2" x14ac:dyDescent="0.35">
      <c r="A110" cm="1">
        <f t="array" ref="A110">IFERROR(INDEX('Row Level Master Sheet'!$K$2:$K$1001,_xlfn.AGGREGATE(15,6,(ROW('Row Level Master Sheet'!$K$2:$K$1001)-ROW('Row Level Master Sheet'!$K$2)+1)/('Row Level Master Sheet'!$C$2:$C$1001="Digital"),ROWS($A$2:A110))),"")</f>
        <v>3.9999999999999904E-2</v>
      </c>
      <c r="B110" s="39" cm="1">
        <f t="array" ref="B110">IFERROR(INDEX('Row Level Master Sheet'!$K$2:$K$1001,_xlfn.AGGREGATE(15,6,(ROW('Row Level Master Sheet'!$K$2:$K$1001)-ROW('Row Level Master Sheet'!$K$2)+1)/('Row Level Master Sheet'!$C$2:$C$1001="Traditional"),ROWS($B$2:B110))),"")</f>
        <v>0.37999999999999995</v>
      </c>
    </row>
    <row r="111" spans="1:2" x14ac:dyDescent="0.35">
      <c r="A111" cm="1">
        <f t="array" ref="A111">IFERROR(INDEX('Row Level Master Sheet'!$K$2:$K$1001,_xlfn.AGGREGATE(15,6,(ROW('Row Level Master Sheet'!$K$2:$K$1001)-ROW('Row Level Master Sheet'!$K$2)+1)/('Row Level Master Sheet'!$C$2:$C$1001="Digital"),ROWS($A$2:A111))),"")</f>
        <v>3.9999999999999973E-2</v>
      </c>
      <c r="B111" s="39" cm="1">
        <f t="array" ref="B111">IFERROR(INDEX('Row Level Master Sheet'!$K$2:$K$1001,_xlfn.AGGREGATE(15,6,(ROW('Row Level Master Sheet'!$K$2:$K$1001)-ROW('Row Level Master Sheet'!$K$2)+1)/('Row Level Master Sheet'!$C$2:$C$1001="Traditional"),ROWS($B$2:B111))),"")</f>
        <v>0.37999999999999995</v>
      </c>
    </row>
    <row r="112" spans="1:2" x14ac:dyDescent="0.35">
      <c r="A112" cm="1">
        <f t="array" ref="A112">IFERROR(INDEX('Row Level Master Sheet'!$K$2:$K$1001,_xlfn.AGGREGATE(15,6,(ROW('Row Level Master Sheet'!$K$2:$K$1001)-ROW('Row Level Master Sheet'!$K$2)+1)/('Row Level Master Sheet'!$C$2:$C$1001="Digital"),ROWS($A$2:A112))),"")</f>
        <v>3.9999999999999987E-2</v>
      </c>
      <c r="B112" s="39" cm="1">
        <f t="array" ref="B112">IFERROR(INDEX('Row Level Master Sheet'!$K$2:$K$1001,_xlfn.AGGREGATE(15,6,(ROW('Row Level Master Sheet'!$K$2:$K$1001)-ROW('Row Level Master Sheet'!$K$2)+1)/('Row Level Master Sheet'!$C$2:$C$1001="Traditional"),ROWS($B$2:B112))),"")</f>
        <v>0.38000000000000012</v>
      </c>
    </row>
    <row r="113" spans="1:2" x14ac:dyDescent="0.35">
      <c r="A113" cm="1">
        <f t="array" ref="A113">IFERROR(INDEX('Row Level Master Sheet'!$K$2:$K$1001,_xlfn.AGGREGATE(15,6,(ROW('Row Level Master Sheet'!$K$2:$K$1001)-ROW('Row Level Master Sheet'!$K$2)+1)/('Row Level Master Sheet'!$C$2:$C$1001="Digital"),ROWS($A$2:A113))),"")</f>
        <v>0.04</v>
      </c>
      <c r="B113" s="39" cm="1">
        <f t="array" ref="B113">IFERROR(INDEX('Row Level Master Sheet'!$K$2:$K$1001,_xlfn.AGGREGATE(15,6,(ROW('Row Level Master Sheet'!$K$2:$K$1001)-ROW('Row Level Master Sheet'!$K$2)+1)/('Row Level Master Sheet'!$C$2:$C$1001="Traditional"),ROWS($B$2:B113))),"")</f>
        <v>0.39</v>
      </c>
    </row>
    <row r="114" spans="1:2" x14ac:dyDescent="0.35">
      <c r="A114" cm="1">
        <f t="array" ref="A114">IFERROR(INDEX('Row Level Master Sheet'!$K$2:$K$1001,_xlfn.AGGREGATE(15,6,(ROW('Row Level Master Sheet'!$K$2:$K$1001)-ROW('Row Level Master Sheet'!$K$2)+1)/('Row Level Master Sheet'!$C$2:$C$1001="Digital"),ROWS($A$2:A114))),"")</f>
        <v>4.0000000000000056E-2</v>
      </c>
      <c r="B114" s="39" cm="1">
        <f t="array" ref="B114">IFERROR(INDEX('Row Level Master Sheet'!$K$2:$K$1001,_xlfn.AGGREGATE(15,6,(ROW('Row Level Master Sheet'!$K$2:$K$1001)-ROW('Row Level Master Sheet'!$K$2)+1)/('Row Level Master Sheet'!$C$2:$C$1001="Traditional"),ROWS($B$2:B114))),"")</f>
        <v>0.40999999999999986</v>
      </c>
    </row>
    <row r="115" spans="1:2" x14ac:dyDescent="0.35">
      <c r="A115" cm="1">
        <f t="array" ref="A115">IFERROR(INDEX('Row Level Master Sheet'!$K$2:$K$1001,_xlfn.AGGREGATE(15,6,(ROW('Row Level Master Sheet'!$K$2:$K$1001)-ROW('Row Level Master Sheet'!$K$2)+1)/('Row Level Master Sheet'!$C$2:$C$1001="Digital"),ROWS($A$2:A115))),"")</f>
        <v>4.0000000000000063E-2</v>
      </c>
      <c r="B115" s="39" cm="1">
        <f t="array" ref="B115">IFERROR(INDEX('Row Level Master Sheet'!$K$2:$K$1001,_xlfn.AGGREGATE(15,6,(ROW('Row Level Master Sheet'!$K$2:$K$1001)-ROW('Row Level Master Sheet'!$K$2)+1)/('Row Level Master Sheet'!$C$2:$C$1001="Traditional"),ROWS($B$2:B115))),"")</f>
        <v>0.40999999999999992</v>
      </c>
    </row>
    <row r="116" spans="1:2" x14ac:dyDescent="0.35">
      <c r="A116" cm="1">
        <f t="array" ref="A116">IFERROR(INDEX('Row Level Master Sheet'!$K$2:$K$1001,_xlfn.AGGREGATE(15,6,(ROW('Row Level Master Sheet'!$K$2:$K$1001)-ROW('Row Level Master Sheet'!$K$2)+1)/('Row Level Master Sheet'!$C$2:$C$1001="Digital"),ROWS($A$2:A116))),"")</f>
        <v>6.000000000000006E-2</v>
      </c>
      <c r="B116" s="39" cm="1">
        <f t="array" ref="B116">IFERROR(INDEX('Row Level Master Sheet'!$K$2:$K$1001,_xlfn.AGGREGATE(15,6,(ROW('Row Level Master Sheet'!$K$2:$K$1001)-ROW('Row Level Master Sheet'!$K$2)+1)/('Row Level Master Sheet'!$C$2:$C$1001="Traditional"),ROWS($B$2:B116))),"")</f>
        <v>0.42000000000000004</v>
      </c>
    </row>
    <row r="117" spans="1:2" x14ac:dyDescent="0.35">
      <c r="A117" cm="1">
        <f t="array" ref="A117">IFERROR(INDEX('Row Level Master Sheet'!$K$2:$K$1001,_xlfn.AGGREGATE(15,6,(ROW('Row Level Master Sheet'!$K$2:$K$1001)-ROW('Row Level Master Sheet'!$K$2)+1)/('Row Level Master Sheet'!$C$2:$C$1001="Digital"),ROWS($A$2:A117))),"")</f>
        <v>6.9999999999999937E-2</v>
      </c>
      <c r="B117" s="39" cm="1">
        <f t="array" ref="B117">IFERROR(INDEX('Row Level Master Sheet'!$K$2:$K$1001,_xlfn.AGGREGATE(15,6,(ROW('Row Level Master Sheet'!$K$2:$K$1001)-ROW('Row Level Master Sheet'!$K$2)+1)/('Row Level Master Sheet'!$C$2:$C$1001="Traditional"),ROWS($B$2:B117))),"")</f>
        <v>0.43</v>
      </c>
    </row>
    <row r="118" spans="1:2" x14ac:dyDescent="0.35">
      <c r="A118" cm="1">
        <f t="array" ref="A118">IFERROR(INDEX('Row Level Master Sheet'!$K$2:$K$1001,_xlfn.AGGREGATE(15,6,(ROW('Row Level Master Sheet'!$K$2:$K$1001)-ROW('Row Level Master Sheet'!$K$2)+1)/('Row Level Master Sheet'!$C$2:$C$1001="Digital"),ROWS($A$2:A118))),"")</f>
        <v>7.0000000000000062E-2</v>
      </c>
      <c r="B118" s="39" cm="1">
        <f t="array" ref="B118">IFERROR(INDEX('Row Level Master Sheet'!$K$2:$K$1001,_xlfn.AGGREGATE(15,6,(ROW('Row Level Master Sheet'!$K$2:$K$1001)-ROW('Row Level Master Sheet'!$K$2)+1)/('Row Level Master Sheet'!$C$2:$C$1001="Traditional"),ROWS($B$2:B118))),"")</f>
        <v>0.44000000000000006</v>
      </c>
    </row>
    <row r="119" spans="1:2" x14ac:dyDescent="0.35">
      <c r="A119" cm="1">
        <f t="array" ref="A119">IFERROR(INDEX('Row Level Master Sheet'!$K$2:$K$1001,_xlfn.AGGREGATE(15,6,(ROW('Row Level Master Sheet'!$K$2:$K$1001)-ROW('Row Level Master Sheet'!$K$2)+1)/('Row Level Master Sheet'!$C$2:$C$1001="Digital"),ROWS($A$2:A119))),"")</f>
        <v>7.9999999999999807E-2</v>
      </c>
      <c r="B119" s="39" cm="1">
        <f t="array" ref="B119">IFERROR(INDEX('Row Level Master Sheet'!$K$2:$K$1001,_xlfn.AGGREGATE(15,6,(ROW('Row Level Master Sheet'!$K$2:$K$1001)-ROW('Row Level Master Sheet'!$K$2)+1)/('Row Level Master Sheet'!$C$2:$C$1001="Traditional"),ROWS($B$2:B119))),"")</f>
        <v>0.46000000000000008</v>
      </c>
    </row>
    <row r="120" spans="1:2" x14ac:dyDescent="0.35">
      <c r="A120" cm="1">
        <f t="array" ref="A120">IFERROR(INDEX('Row Level Master Sheet'!$K$2:$K$1001,_xlfn.AGGREGATE(15,6,(ROW('Row Level Master Sheet'!$K$2:$K$1001)-ROW('Row Level Master Sheet'!$K$2)+1)/('Row Level Master Sheet'!$C$2:$C$1001="Digital"),ROWS($A$2:A120))),"")</f>
        <v>8.9999999999999872E-2</v>
      </c>
      <c r="B120" s="39" cm="1">
        <f t="array" ref="B120">IFERROR(INDEX('Row Level Master Sheet'!$K$2:$K$1001,_xlfn.AGGREGATE(15,6,(ROW('Row Level Master Sheet'!$K$2:$K$1001)-ROW('Row Level Master Sheet'!$K$2)+1)/('Row Level Master Sheet'!$C$2:$C$1001="Traditional"),ROWS($B$2:B120))),"")</f>
        <v>0.46000000000000013</v>
      </c>
    </row>
    <row r="121" spans="1:2" x14ac:dyDescent="0.35">
      <c r="A121" cm="1">
        <f t="array" ref="A121">IFERROR(INDEX('Row Level Master Sheet'!$K$2:$K$1001,_xlfn.AGGREGATE(15,6,(ROW('Row Level Master Sheet'!$K$2:$K$1001)-ROW('Row Level Master Sheet'!$K$2)+1)/('Row Level Master Sheet'!$C$2:$C$1001="Digital"),ROWS($A$2:A121))),"")</f>
        <v>8.9999999999999927E-2</v>
      </c>
      <c r="B121" s="39" cm="1">
        <f t="array" ref="B121">IFERROR(INDEX('Row Level Master Sheet'!$K$2:$K$1001,_xlfn.AGGREGATE(15,6,(ROW('Row Level Master Sheet'!$K$2:$K$1001)-ROW('Row Level Master Sheet'!$K$2)+1)/('Row Level Master Sheet'!$C$2:$C$1001="Traditional"),ROWS($B$2:B121))),"")</f>
        <v>0.46999999999999981</v>
      </c>
    </row>
    <row r="122" spans="1:2" x14ac:dyDescent="0.35">
      <c r="A122" cm="1">
        <f t="array" ref="A122">IFERROR(INDEX('Row Level Master Sheet'!$K$2:$K$1001,_xlfn.AGGREGATE(15,6,(ROW('Row Level Master Sheet'!$K$2:$K$1001)-ROW('Row Level Master Sheet'!$K$2)+1)/('Row Level Master Sheet'!$C$2:$C$1001="Digital"),ROWS($A$2:A122))),"")</f>
        <v>9.0000000000000038E-2</v>
      </c>
      <c r="B122" s="39" cm="1">
        <f t="array" ref="B122">IFERROR(INDEX('Row Level Master Sheet'!$K$2:$K$1001,_xlfn.AGGREGATE(15,6,(ROW('Row Level Master Sheet'!$K$2:$K$1001)-ROW('Row Level Master Sheet'!$K$2)+1)/('Row Level Master Sheet'!$C$2:$C$1001="Traditional"),ROWS($B$2:B122))),"")</f>
        <v>0.47</v>
      </c>
    </row>
    <row r="123" spans="1:2" x14ac:dyDescent="0.35">
      <c r="A123" cm="1">
        <f t="array" ref="A123">IFERROR(INDEX('Row Level Master Sheet'!$K$2:$K$1001,_xlfn.AGGREGATE(15,6,(ROW('Row Level Master Sheet'!$K$2:$K$1001)-ROW('Row Level Master Sheet'!$K$2)+1)/('Row Level Master Sheet'!$C$2:$C$1001="Digital"),ROWS($A$2:A123))),"")</f>
        <v>9.0000000000000066E-2</v>
      </c>
      <c r="B123" s="39" cm="1">
        <f t="array" ref="B123">IFERROR(INDEX('Row Level Master Sheet'!$K$2:$K$1001,_xlfn.AGGREGATE(15,6,(ROW('Row Level Master Sheet'!$K$2:$K$1001)-ROW('Row Level Master Sheet'!$K$2)+1)/('Row Level Master Sheet'!$C$2:$C$1001="Traditional"),ROWS($B$2:B123))),"")</f>
        <v>0.47000000000000008</v>
      </c>
    </row>
    <row r="124" spans="1:2" x14ac:dyDescent="0.35">
      <c r="A124" cm="1">
        <f t="array" ref="A124">IFERROR(INDEX('Row Level Master Sheet'!$K$2:$K$1001,_xlfn.AGGREGATE(15,6,(ROW('Row Level Master Sheet'!$K$2:$K$1001)-ROW('Row Level Master Sheet'!$K$2)+1)/('Row Level Master Sheet'!$C$2:$C$1001="Digital"),ROWS($A$2:A124))),"")</f>
        <v>9.0000000000000066E-2</v>
      </c>
      <c r="B124" s="39" cm="1">
        <f t="array" ref="B124">IFERROR(INDEX('Row Level Master Sheet'!$K$2:$K$1001,_xlfn.AGGREGATE(15,6,(ROW('Row Level Master Sheet'!$K$2:$K$1001)-ROW('Row Level Master Sheet'!$K$2)+1)/('Row Level Master Sheet'!$C$2:$C$1001="Traditional"),ROWS($B$2:B124))),"")</f>
        <v>0.47999999999999993</v>
      </c>
    </row>
    <row r="125" spans="1:2" x14ac:dyDescent="0.35">
      <c r="A125" cm="1">
        <f t="array" ref="A125">IFERROR(INDEX('Row Level Master Sheet'!$K$2:$K$1001,_xlfn.AGGREGATE(15,6,(ROW('Row Level Master Sheet'!$K$2:$K$1001)-ROW('Row Level Master Sheet'!$K$2)+1)/('Row Level Master Sheet'!$C$2:$C$1001="Digital"),ROWS($A$2:A125))),"")</f>
        <v>9.9999999999999839E-2</v>
      </c>
      <c r="B125" s="39" cm="1">
        <f t="array" ref="B125">IFERROR(INDEX('Row Level Master Sheet'!$K$2:$K$1001,_xlfn.AGGREGATE(15,6,(ROW('Row Level Master Sheet'!$K$2:$K$1001)-ROW('Row Level Master Sheet'!$K$2)+1)/('Row Level Master Sheet'!$C$2:$C$1001="Traditional"),ROWS($B$2:B125))),"")</f>
        <v>0.48</v>
      </c>
    </row>
    <row r="126" spans="1:2" x14ac:dyDescent="0.35">
      <c r="A126" cm="1">
        <f t="array" ref="A126">IFERROR(INDEX('Row Level Master Sheet'!$K$2:$K$1001,_xlfn.AGGREGATE(15,6,(ROW('Row Level Master Sheet'!$K$2:$K$1001)-ROW('Row Level Master Sheet'!$K$2)+1)/('Row Level Master Sheet'!$C$2:$C$1001="Digital"),ROWS($A$2:A126))),"")</f>
        <v>0.1</v>
      </c>
      <c r="B126" s="39" cm="1">
        <f t="array" ref="B126">IFERROR(INDEX('Row Level Master Sheet'!$K$2:$K$1001,_xlfn.AGGREGATE(15,6,(ROW('Row Level Master Sheet'!$K$2:$K$1001)-ROW('Row Level Master Sheet'!$K$2)+1)/('Row Level Master Sheet'!$C$2:$C$1001="Traditional"),ROWS($B$2:B126))),"")</f>
        <v>0.49000000000000005</v>
      </c>
    </row>
    <row r="127" spans="1:2" x14ac:dyDescent="0.35">
      <c r="A127" cm="1">
        <f t="array" ref="A127">IFERROR(INDEX('Row Level Master Sheet'!$K$2:$K$1001,_xlfn.AGGREGATE(15,6,(ROW('Row Level Master Sheet'!$K$2:$K$1001)-ROW('Row Level Master Sheet'!$K$2)+1)/('Row Level Master Sheet'!$C$2:$C$1001="Digital"),ROWS($A$2:A127))),"")</f>
        <v>0.1</v>
      </c>
      <c r="B127" s="39" cm="1">
        <f t="array" ref="B127">IFERROR(INDEX('Row Level Master Sheet'!$K$2:$K$1001,_xlfn.AGGREGATE(15,6,(ROW('Row Level Master Sheet'!$K$2:$K$1001)-ROW('Row Level Master Sheet'!$K$2)+1)/('Row Level Master Sheet'!$C$2:$C$1001="Traditional"),ROWS($B$2:B127))),"")</f>
        <v>0.50000000000000011</v>
      </c>
    </row>
    <row r="128" spans="1:2" x14ac:dyDescent="0.35">
      <c r="A128" cm="1">
        <f t="array" ref="A128">IFERROR(INDEX('Row Level Master Sheet'!$K$2:$K$1001,_xlfn.AGGREGATE(15,6,(ROW('Row Level Master Sheet'!$K$2:$K$1001)-ROW('Row Level Master Sheet'!$K$2)+1)/('Row Level Master Sheet'!$C$2:$C$1001="Digital"),ROWS($A$2:A128))),"")</f>
        <v>0.10000000000000006</v>
      </c>
      <c r="B128" s="39" cm="1">
        <f t="array" ref="B128">IFERROR(INDEX('Row Level Master Sheet'!$K$2:$K$1001,_xlfn.AGGREGATE(15,6,(ROW('Row Level Master Sheet'!$K$2:$K$1001)-ROW('Row Level Master Sheet'!$K$2)+1)/('Row Level Master Sheet'!$C$2:$C$1001="Traditional"),ROWS($B$2:B128))),"")</f>
        <v>0.5099999999999999</v>
      </c>
    </row>
    <row r="129" spans="1:2" x14ac:dyDescent="0.35">
      <c r="A129" cm="1">
        <f t="array" ref="A129">IFERROR(INDEX('Row Level Master Sheet'!$K$2:$K$1001,_xlfn.AGGREGATE(15,6,(ROW('Row Level Master Sheet'!$K$2:$K$1001)-ROW('Row Level Master Sheet'!$K$2)+1)/('Row Level Master Sheet'!$C$2:$C$1001="Digital"),ROWS($A$2:A129))),"")</f>
        <v>0.10999999999999989</v>
      </c>
      <c r="B129" s="39" cm="1">
        <f t="array" ref="B129">IFERROR(INDEX('Row Level Master Sheet'!$K$2:$K$1001,_xlfn.AGGREGATE(15,6,(ROW('Row Level Master Sheet'!$K$2:$K$1001)-ROW('Row Level Master Sheet'!$K$2)+1)/('Row Level Master Sheet'!$C$2:$C$1001="Traditional"),ROWS($B$2:B129))),"")</f>
        <v>0.51000000000000012</v>
      </c>
    </row>
    <row r="130" spans="1:2" x14ac:dyDescent="0.35">
      <c r="A130" cm="1">
        <f t="array" ref="A130">IFERROR(INDEX('Row Level Master Sheet'!$K$2:$K$1001,_xlfn.AGGREGATE(15,6,(ROW('Row Level Master Sheet'!$K$2:$K$1001)-ROW('Row Level Master Sheet'!$K$2)+1)/('Row Level Master Sheet'!$C$2:$C$1001="Digital"),ROWS($A$2:A130))),"")</f>
        <v>0.10999999999999996</v>
      </c>
      <c r="B130" s="39" cm="1">
        <f t="array" ref="B130">IFERROR(INDEX('Row Level Master Sheet'!$K$2:$K$1001,_xlfn.AGGREGATE(15,6,(ROW('Row Level Master Sheet'!$K$2:$K$1001)-ROW('Row Level Master Sheet'!$K$2)+1)/('Row Level Master Sheet'!$C$2:$C$1001="Traditional"),ROWS($B$2:B130))),"")</f>
        <v>0.53</v>
      </c>
    </row>
    <row r="131" spans="1:2" x14ac:dyDescent="0.35">
      <c r="A131" cm="1">
        <f t="array" ref="A131">IFERROR(INDEX('Row Level Master Sheet'!$K$2:$K$1001,_xlfn.AGGREGATE(15,6,(ROW('Row Level Master Sheet'!$K$2:$K$1001)-ROW('Row Level Master Sheet'!$K$2)+1)/('Row Level Master Sheet'!$C$2:$C$1001="Digital"),ROWS($A$2:A131))),"")</f>
        <v>0.11</v>
      </c>
      <c r="B131" s="39" cm="1">
        <f t="array" ref="B131">IFERROR(INDEX('Row Level Master Sheet'!$K$2:$K$1001,_xlfn.AGGREGATE(15,6,(ROW('Row Level Master Sheet'!$K$2:$K$1001)-ROW('Row Level Master Sheet'!$K$2)+1)/('Row Level Master Sheet'!$C$2:$C$1001="Traditional"),ROWS($B$2:B131))),"")</f>
        <v>0.53000000000000014</v>
      </c>
    </row>
    <row r="132" spans="1:2" x14ac:dyDescent="0.35">
      <c r="A132" cm="1">
        <f t="array" ref="A132">IFERROR(INDEX('Row Level Master Sheet'!$K$2:$K$1001,_xlfn.AGGREGATE(15,6,(ROW('Row Level Master Sheet'!$K$2:$K$1001)-ROW('Row Level Master Sheet'!$K$2)+1)/('Row Level Master Sheet'!$C$2:$C$1001="Digital"),ROWS($A$2:A132))),"")</f>
        <v>0.11</v>
      </c>
      <c r="B132" s="39" cm="1">
        <f t="array" ref="B132">IFERROR(INDEX('Row Level Master Sheet'!$K$2:$K$1001,_xlfn.AGGREGATE(15,6,(ROW('Row Level Master Sheet'!$K$2:$K$1001)-ROW('Row Level Master Sheet'!$K$2)+1)/('Row Level Master Sheet'!$C$2:$C$1001="Traditional"),ROWS($B$2:B132))),"")</f>
        <v>0.54999999999999993</v>
      </c>
    </row>
    <row r="133" spans="1:2" x14ac:dyDescent="0.35">
      <c r="A133" cm="1">
        <f t="array" ref="A133">IFERROR(INDEX('Row Level Master Sheet'!$K$2:$K$1001,_xlfn.AGGREGATE(15,6,(ROW('Row Level Master Sheet'!$K$2:$K$1001)-ROW('Row Level Master Sheet'!$K$2)+1)/('Row Level Master Sheet'!$C$2:$C$1001="Digital"),ROWS($A$2:A133))),"")</f>
        <v>0.11999999999999995</v>
      </c>
      <c r="B133" s="39" cm="1">
        <f t="array" ref="B133">IFERROR(INDEX('Row Level Master Sheet'!$K$2:$K$1001,_xlfn.AGGREGATE(15,6,(ROW('Row Level Master Sheet'!$K$2:$K$1001)-ROW('Row Level Master Sheet'!$K$2)+1)/('Row Level Master Sheet'!$C$2:$C$1001="Traditional"),ROWS($B$2:B133))),"")</f>
        <v>0.54999999999999993</v>
      </c>
    </row>
    <row r="134" spans="1:2" x14ac:dyDescent="0.35">
      <c r="A134" cm="1">
        <f t="array" ref="A134">IFERROR(INDEX('Row Level Master Sheet'!$K$2:$K$1001,_xlfn.AGGREGATE(15,6,(ROW('Row Level Master Sheet'!$K$2:$K$1001)-ROW('Row Level Master Sheet'!$K$2)+1)/('Row Level Master Sheet'!$C$2:$C$1001="Digital"),ROWS($A$2:A134))),"")</f>
        <v>0.11999999999999995</v>
      </c>
      <c r="B134" s="39" cm="1">
        <f t="array" ref="B134">IFERROR(INDEX('Row Level Master Sheet'!$K$2:$K$1001,_xlfn.AGGREGATE(15,6,(ROW('Row Level Master Sheet'!$K$2:$K$1001)-ROW('Row Level Master Sheet'!$K$2)+1)/('Row Level Master Sheet'!$C$2:$C$1001="Traditional"),ROWS($B$2:B134))),"")</f>
        <v>0.55000000000000027</v>
      </c>
    </row>
    <row r="135" spans="1:2" x14ac:dyDescent="0.35">
      <c r="A135" cm="1">
        <f t="array" ref="A135">IFERROR(INDEX('Row Level Master Sheet'!$K$2:$K$1001,_xlfn.AGGREGATE(15,6,(ROW('Row Level Master Sheet'!$K$2:$K$1001)-ROW('Row Level Master Sheet'!$K$2)+1)/('Row Level Master Sheet'!$C$2:$C$1001="Digital"),ROWS($A$2:A135))),"")</f>
        <v>0.11999999999999997</v>
      </c>
      <c r="B135" s="39" cm="1">
        <f t="array" ref="B135">IFERROR(INDEX('Row Level Master Sheet'!$K$2:$K$1001,_xlfn.AGGREGATE(15,6,(ROW('Row Level Master Sheet'!$K$2:$K$1001)-ROW('Row Level Master Sheet'!$K$2)+1)/('Row Level Master Sheet'!$C$2:$C$1001="Traditional"),ROWS($B$2:B135))),"")</f>
        <v>0.55999999999999994</v>
      </c>
    </row>
    <row r="136" spans="1:2" x14ac:dyDescent="0.35">
      <c r="A136" cm="1">
        <f t="array" ref="A136">IFERROR(INDEX('Row Level Master Sheet'!$K$2:$K$1001,_xlfn.AGGREGATE(15,6,(ROW('Row Level Master Sheet'!$K$2:$K$1001)-ROW('Row Level Master Sheet'!$K$2)+1)/('Row Level Master Sheet'!$C$2:$C$1001="Digital"),ROWS($A$2:A136))),"")</f>
        <v>0.11999999999999998</v>
      </c>
      <c r="B136" s="39" cm="1">
        <f t="array" ref="B136">IFERROR(INDEX('Row Level Master Sheet'!$K$2:$K$1001,_xlfn.AGGREGATE(15,6,(ROW('Row Level Master Sheet'!$K$2:$K$1001)-ROW('Row Level Master Sheet'!$K$2)+1)/('Row Level Master Sheet'!$C$2:$C$1001="Traditional"),ROWS($B$2:B136))),"")</f>
        <v>0.55999999999999994</v>
      </c>
    </row>
    <row r="137" spans="1:2" x14ac:dyDescent="0.35">
      <c r="A137" cm="1">
        <f t="array" ref="A137">IFERROR(INDEX('Row Level Master Sheet'!$K$2:$K$1001,_xlfn.AGGREGATE(15,6,(ROW('Row Level Master Sheet'!$K$2:$K$1001)-ROW('Row Level Master Sheet'!$K$2)+1)/('Row Level Master Sheet'!$C$2:$C$1001="Digital"),ROWS($A$2:A137))),"")</f>
        <v>0.12000000000000011</v>
      </c>
      <c r="B137" s="39" cm="1">
        <f t="array" ref="B137">IFERROR(INDEX('Row Level Master Sheet'!$K$2:$K$1001,_xlfn.AGGREGATE(15,6,(ROW('Row Level Master Sheet'!$K$2:$K$1001)-ROW('Row Level Master Sheet'!$K$2)+1)/('Row Level Master Sheet'!$C$2:$C$1001="Traditional"),ROWS($B$2:B137))),"")</f>
        <v>0.55999999999999994</v>
      </c>
    </row>
    <row r="138" spans="1:2" x14ac:dyDescent="0.35">
      <c r="A138" cm="1">
        <f t="array" ref="A138">IFERROR(INDEX('Row Level Master Sheet'!$K$2:$K$1001,_xlfn.AGGREGATE(15,6,(ROW('Row Level Master Sheet'!$K$2:$K$1001)-ROW('Row Level Master Sheet'!$K$2)+1)/('Row Level Master Sheet'!$C$2:$C$1001="Digital"),ROWS($A$2:A138))),"")</f>
        <v>0.12999999999999989</v>
      </c>
      <c r="B138" s="39" cm="1">
        <f t="array" ref="B138">IFERROR(INDEX('Row Level Master Sheet'!$K$2:$K$1001,_xlfn.AGGREGATE(15,6,(ROW('Row Level Master Sheet'!$K$2:$K$1001)-ROW('Row Level Master Sheet'!$K$2)+1)/('Row Level Master Sheet'!$C$2:$C$1001="Traditional"),ROWS($B$2:B138))),"")</f>
        <v>0.56999999999999984</v>
      </c>
    </row>
    <row r="139" spans="1:2" x14ac:dyDescent="0.35">
      <c r="A139" cm="1">
        <f t="array" ref="A139">IFERROR(INDEX('Row Level Master Sheet'!$K$2:$K$1001,_xlfn.AGGREGATE(15,6,(ROW('Row Level Master Sheet'!$K$2:$K$1001)-ROW('Row Level Master Sheet'!$K$2)+1)/('Row Level Master Sheet'!$C$2:$C$1001="Digital"),ROWS($A$2:A139))),"")</f>
        <v>0.12999999999999992</v>
      </c>
      <c r="B139" s="39" cm="1">
        <f t="array" ref="B139">IFERROR(INDEX('Row Level Master Sheet'!$K$2:$K$1001,_xlfn.AGGREGATE(15,6,(ROW('Row Level Master Sheet'!$K$2:$K$1001)-ROW('Row Level Master Sheet'!$K$2)+1)/('Row Level Master Sheet'!$C$2:$C$1001="Traditional"),ROWS($B$2:B139))),"")</f>
        <v>0.56999999999999984</v>
      </c>
    </row>
    <row r="140" spans="1:2" x14ac:dyDescent="0.35">
      <c r="A140" cm="1">
        <f t="array" ref="A140">IFERROR(INDEX('Row Level Master Sheet'!$K$2:$K$1001,_xlfn.AGGREGATE(15,6,(ROW('Row Level Master Sheet'!$K$2:$K$1001)-ROW('Row Level Master Sheet'!$K$2)+1)/('Row Level Master Sheet'!$C$2:$C$1001="Digital"),ROWS($A$2:A140))),"")</f>
        <v>0.12999999999999998</v>
      </c>
      <c r="B140" s="39" cm="1">
        <f t="array" ref="B140">IFERROR(INDEX('Row Level Master Sheet'!$K$2:$K$1001,_xlfn.AGGREGATE(15,6,(ROW('Row Level Master Sheet'!$K$2:$K$1001)-ROW('Row Level Master Sheet'!$K$2)+1)/('Row Level Master Sheet'!$C$2:$C$1001="Traditional"),ROWS($B$2:B140))),"")</f>
        <v>0.56999999999999995</v>
      </c>
    </row>
    <row r="141" spans="1:2" x14ac:dyDescent="0.35">
      <c r="A141" cm="1">
        <f t="array" ref="A141">IFERROR(INDEX('Row Level Master Sheet'!$K$2:$K$1001,_xlfn.AGGREGATE(15,6,(ROW('Row Level Master Sheet'!$K$2:$K$1001)-ROW('Row Level Master Sheet'!$K$2)+1)/('Row Level Master Sheet'!$C$2:$C$1001="Digital"),ROWS($A$2:A141))),"")</f>
        <v>0.13999999999999993</v>
      </c>
      <c r="B141" s="39" cm="1">
        <f t="array" ref="B141">IFERROR(INDEX('Row Level Master Sheet'!$K$2:$K$1001,_xlfn.AGGREGATE(15,6,(ROW('Row Level Master Sheet'!$K$2:$K$1001)-ROW('Row Level Master Sheet'!$K$2)+1)/('Row Level Master Sheet'!$C$2:$C$1001="Traditional"),ROWS($B$2:B141))),"")</f>
        <v>0.58000000000000007</v>
      </c>
    </row>
    <row r="142" spans="1:2" x14ac:dyDescent="0.35">
      <c r="A142" cm="1">
        <f t="array" ref="A142">IFERROR(INDEX('Row Level Master Sheet'!$K$2:$K$1001,_xlfn.AGGREGATE(15,6,(ROW('Row Level Master Sheet'!$K$2:$K$1001)-ROW('Row Level Master Sheet'!$K$2)+1)/('Row Level Master Sheet'!$C$2:$C$1001="Digital"),ROWS($A$2:A142))),"")</f>
        <v>0.13999999999999999</v>
      </c>
      <c r="B142" s="39" cm="1">
        <f t="array" ref="B142">IFERROR(INDEX('Row Level Master Sheet'!$K$2:$K$1001,_xlfn.AGGREGATE(15,6,(ROW('Row Level Master Sheet'!$K$2:$K$1001)-ROW('Row Level Master Sheet'!$K$2)+1)/('Row Level Master Sheet'!$C$2:$C$1001="Traditional"),ROWS($B$2:B142))),"")</f>
        <v>0.58000000000000007</v>
      </c>
    </row>
    <row r="143" spans="1:2" x14ac:dyDescent="0.35">
      <c r="A143" cm="1">
        <f t="array" ref="A143">IFERROR(INDEX('Row Level Master Sheet'!$K$2:$K$1001,_xlfn.AGGREGATE(15,6,(ROW('Row Level Master Sheet'!$K$2:$K$1001)-ROW('Row Level Master Sheet'!$K$2)+1)/('Row Level Master Sheet'!$C$2:$C$1001="Digital"),ROWS($A$2:A143))),"")</f>
        <v>0.14000000000000007</v>
      </c>
      <c r="B143" s="39" cm="1">
        <f t="array" ref="B143">IFERROR(INDEX('Row Level Master Sheet'!$K$2:$K$1001,_xlfn.AGGREGATE(15,6,(ROW('Row Level Master Sheet'!$K$2:$K$1001)-ROW('Row Level Master Sheet'!$K$2)+1)/('Row Level Master Sheet'!$C$2:$C$1001="Traditional"),ROWS($B$2:B143))),"")</f>
        <v>0.59000000000000008</v>
      </c>
    </row>
    <row r="144" spans="1:2" x14ac:dyDescent="0.35">
      <c r="A144" cm="1">
        <f t="array" ref="A144">IFERROR(INDEX('Row Level Master Sheet'!$K$2:$K$1001,_xlfn.AGGREGATE(15,6,(ROW('Row Level Master Sheet'!$K$2:$K$1001)-ROW('Row Level Master Sheet'!$K$2)+1)/('Row Level Master Sheet'!$C$2:$C$1001="Digital"),ROWS($A$2:A144))),"")</f>
        <v>0.14000000000000007</v>
      </c>
      <c r="B144" s="39" cm="1">
        <f t="array" ref="B144">IFERROR(INDEX('Row Level Master Sheet'!$K$2:$K$1001,_xlfn.AGGREGATE(15,6,(ROW('Row Level Master Sheet'!$K$2:$K$1001)-ROW('Row Level Master Sheet'!$K$2)+1)/('Row Level Master Sheet'!$C$2:$C$1001="Traditional"),ROWS($B$2:B144))),"")</f>
        <v>0.59000000000000008</v>
      </c>
    </row>
    <row r="145" spans="1:2" x14ac:dyDescent="0.35">
      <c r="A145" cm="1">
        <f t="array" ref="A145">IFERROR(INDEX('Row Level Master Sheet'!$K$2:$K$1001,_xlfn.AGGREGATE(15,6,(ROW('Row Level Master Sheet'!$K$2:$K$1001)-ROW('Row Level Master Sheet'!$K$2)+1)/('Row Level Master Sheet'!$C$2:$C$1001="Digital"),ROWS($A$2:A145))),"")</f>
        <v>0.15</v>
      </c>
      <c r="B145" s="39" cm="1">
        <f t="array" ref="B145">IFERROR(INDEX('Row Level Master Sheet'!$K$2:$K$1001,_xlfn.AGGREGATE(15,6,(ROW('Row Level Master Sheet'!$K$2:$K$1001)-ROW('Row Level Master Sheet'!$K$2)+1)/('Row Level Master Sheet'!$C$2:$C$1001="Traditional"),ROWS($B$2:B145))),"")</f>
        <v>0.60000000000000009</v>
      </c>
    </row>
    <row r="146" spans="1:2" x14ac:dyDescent="0.35">
      <c r="A146" cm="1">
        <f t="array" ref="A146">IFERROR(INDEX('Row Level Master Sheet'!$K$2:$K$1001,_xlfn.AGGREGATE(15,6,(ROW('Row Level Master Sheet'!$K$2:$K$1001)-ROW('Row Level Master Sheet'!$K$2)+1)/('Row Level Master Sheet'!$C$2:$C$1001="Digital"),ROWS($A$2:A146))),"")</f>
        <v>0.15999999999999989</v>
      </c>
      <c r="B146" s="39" cm="1">
        <f t="array" ref="B146">IFERROR(INDEX('Row Level Master Sheet'!$K$2:$K$1001,_xlfn.AGGREGATE(15,6,(ROW('Row Level Master Sheet'!$K$2:$K$1001)-ROW('Row Level Master Sheet'!$K$2)+1)/('Row Level Master Sheet'!$C$2:$C$1001="Traditional"),ROWS($B$2:B146))),"")</f>
        <v>0.60999999999999988</v>
      </c>
    </row>
    <row r="147" spans="1:2" x14ac:dyDescent="0.35">
      <c r="A147" cm="1">
        <f t="array" ref="A147">IFERROR(INDEX('Row Level Master Sheet'!$K$2:$K$1001,_xlfn.AGGREGATE(15,6,(ROW('Row Level Master Sheet'!$K$2:$K$1001)-ROW('Row Level Master Sheet'!$K$2)+1)/('Row Level Master Sheet'!$C$2:$C$1001="Digital"),ROWS($A$2:A147))),"")</f>
        <v>0.15999999999999995</v>
      </c>
      <c r="B147" s="39" cm="1">
        <f t="array" ref="B147">IFERROR(INDEX('Row Level Master Sheet'!$K$2:$K$1001,_xlfn.AGGREGATE(15,6,(ROW('Row Level Master Sheet'!$K$2:$K$1001)-ROW('Row Level Master Sheet'!$K$2)+1)/('Row Level Master Sheet'!$C$2:$C$1001="Traditional"),ROWS($B$2:B147))),"")</f>
        <v>0.61</v>
      </c>
    </row>
    <row r="148" spans="1:2" x14ac:dyDescent="0.35">
      <c r="A148" cm="1">
        <f t="array" ref="A148">IFERROR(INDEX('Row Level Master Sheet'!$K$2:$K$1001,_xlfn.AGGREGATE(15,6,(ROW('Row Level Master Sheet'!$K$2:$K$1001)-ROW('Row Level Master Sheet'!$K$2)+1)/('Row Level Master Sheet'!$C$2:$C$1001="Digital"),ROWS($A$2:A148))),"")</f>
        <v>0.16000000000000006</v>
      </c>
      <c r="B148" s="39" cm="1">
        <f t="array" ref="B148">IFERROR(INDEX('Row Level Master Sheet'!$K$2:$K$1001,_xlfn.AGGREGATE(15,6,(ROW('Row Level Master Sheet'!$K$2:$K$1001)-ROW('Row Level Master Sheet'!$K$2)+1)/('Row Level Master Sheet'!$C$2:$C$1001="Traditional"),ROWS($B$2:B148))),"")</f>
        <v>0.61</v>
      </c>
    </row>
    <row r="149" spans="1:2" x14ac:dyDescent="0.35">
      <c r="A149" cm="1">
        <f t="array" ref="A149">IFERROR(INDEX('Row Level Master Sheet'!$K$2:$K$1001,_xlfn.AGGREGATE(15,6,(ROW('Row Level Master Sheet'!$K$2:$K$1001)-ROW('Row Level Master Sheet'!$K$2)+1)/('Row Level Master Sheet'!$C$2:$C$1001="Digital"),ROWS($A$2:A149))),"")</f>
        <v>0.16000000000000014</v>
      </c>
      <c r="B149" s="39" cm="1">
        <f t="array" ref="B149">IFERROR(INDEX('Row Level Master Sheet'!$K$2:$K$1001,_xlfn.AGGREGATE(15,6,(ROW('Row Level Master Sheet'!$K$2:$K$1001)-ROW('Row Level Master Sheet'!$K$2)+1)/('Row Level Master Sheet'!$C$2:$C$1001="Traditional"),ROWS($B$2:B149))),"")</f>
        <v>0.6100000000000001</v>
      </c>
    </row>
    <row r="150" spans="1:2" x14ac:dyDescent="0.35">
      <c r="A150" cm="1">
        <f t="array" ref="A150">IFERROR(INDEX('Row Level Master Sheet'!$K$2:$K$1001,_xlfn.AGGREGATE(15,6,(ROW('Row Level Master Sheet'!$K$2:$K$1001)-ROW('Row Level Master Sheet'!$K$2)+1)/('Row Level Master Sheet'!$C$2:$C$1001="Digital"),ROWS($A$2:A150))),"")</f>
        <v>0.1700000000000001</v>
      </c>
      <c r="B150" s="39" cm="1">
        <f t="array" ref="B150">IFERROR(INDEX('Row Level Master Sheet'!$K$2:$K$1001,_xlfn.AGGREGATE(15,6,(ROW('Row Level Master Sheet'!$K$2:$K$1001)-ROW('Row Level Master Sheet'!$K$2)+1)/('Row Level Master Sheet'!$C$2:$C$1001="Traditional"),ROWS($B$2:B150))),"")</f>
        <v>0.61999999999999988</v>
      </c>
    </row>
    <row r="151" spans="1:2" x14ac:dyDescent="0.35">
      <c r="A151" cm="1">
        <f t="array" ref="A151">IFERROR(INDEX('Row Level Master Sheet'!$K$2:$K$1001,_xlfn.AGGREGATE(15,6,(ROW('Row Level Master Sheet'!$K$2:$K$1001)-ROW('Row Level Master Sheet'!$K$2)+1)/('Row Level Master Sheet'!$C$2:$C$1001="Digital"),ROWS($A$2:A151))),"")</f>
        <v>0.17000000000000012</v>
      </c>
      <c r="B151" s="39" cm="1">
        <f t="array" ref="B151">IFERROR(INDEX('Row Level Master Sheet'!$K$2:$K$1001,_xlfn.AGGREGATE(15,6,(ROW('Row Level Master Sheet'!$K$2:$K$1001)-ROW('Row Level Master Sheet'!$K$2)+1)/('Row Level Master Sheet'!$C$2:$C$1001="Traditional"),ROWS($B$2:B151))),"")</f>
        <v>0.6399999999999999</v>
      </c>
    </row>
    <row r="152" spans="1:2" x14ac:dyDescent="0.35">
      <c r="A152" cm="1">
        <f t="array" ref="A152">IFERROR(INDEX('Row Level Master Sheet'!$K$2:$K$1001,_xlfn.AGGREGATE(15,6,(ROW('Row Level Master Sheet'!$K$2:$K$1001)-ROW('Row Level Master Sheet'!$K$2)+1)/('Row Level Master Sheet'!$C$2:$C$1001="Digital"),ROWS($A$2:A152))),"")</f>
        <v>0.17000000000000018</v>
      </c>
      <c r="B152" s="39" cm="1">
        <f t="array" ref="B152">IFERROR(INDEX('Row Level Master Sheet'!$K$2:$K$1001,_xlfn.AGGREGATE(15,6,(ROW('Row Level Master Sheet'!$K$2:$K$1001)-ROW('Row Level Master Sheet'!$K$2)+1)/('Row Level Master Sheet'!$C$2:$C$1001="Traditional"),ROWS($B$2:B152))),"")</f>
        <v>0.64</v>
      </c>
    </row>
    <row r="153" spans="1:2" x14ac:dyDescent="0.35">
      <c r="A153" cm="1">
        <f t="array" ref="A153">IFERROR(INDEX('Row Level Master Sheet'!$K$2:$K$1001,_xlfn.AGGREGATE(15,6,(ROW('Row Level Master Sheet'!$K$2:$K$1001)-ROW('Row Level Master Sheet'!$K$2)+1)/('Row Level Master Sheet'!$C$2:$C$1001="Digital"),ROWS($A$2:A153))),"")</f>
        <v>0.18000000000000013</v>
      </c>
      <c r="B153" s="39" cm="1">
        <f t="array" ref="B153">IFERROR(INDEX('Row Level Master Sheet'!$K$2:$K$1001,_xlfn.AGGREGATE(15,6,(ROW('Row Level Master Sheet'!$K$2:$K$1001)-ROW('Row Level Master Sheet'!$K$2)+1)/('Row Level Master Sheet'!$C$2:$C$1001="Traditional"),ROWS($B$2:B153))),"")</f>
        <v>0.64000000000000012</v>
      </c>
    </row>
    <row r="154" spans="1:2" x14ac:dyDescent="0.35">
      <c r="A154" cm="1">
        <f t="array" ref="A154">IFERROR(INDEX('Row Level Master Sheet'!$K$2:$K$1001,_xlfn.AGGREGATE(15,6,(ROW('Row Level Master Sheet'!$K$2:$K$1001)-ROW('Row Level Master Sheet'!$K$2)+1)/('Row Level Master Sheet'!$C$2:$C$1001="Digital"),ROWS($A$2:A154))),"")</f>
        <v>0.19000000000000003</v>
      </c>
      <c r="B154" s="39" cm="1">
        <f t="array" ref="B154">IFERROR(INDEX('Row Level Master Sheet'!$K$2:$K$1001,_xlfn.AGGREGATE(15,6,(ROW('Row Level Master Sheet'!$K$2:$K$1001)-ROW('Row Level Master Sheet'!$K$2)+1)/('Row Level Master Sheet'!$C$2:$C$1001="Traditional"),ROWS($B$2:B154))),"")</f>
        <v>0.6499999999999998</v>
      </c>
    </row>
    <row r="155" spans="1:2" x14ac:dyDescent="0.35">
      <c r="A155" cm="1">
        <f t="array" ref="A155">IFERROR(INDEX('Row Level Master Sheet'!$K$2:$K$1001,_xlfn.AGGREGATE(15,6,(ROW('Row Level Master Sheet'!$K$2:$K$1001)-ROW('Row Level Master Sheet'!$K$2)+1)/('Row Level Master Sheet'!$C$2:$C$1001="Digital"),ROWS($A$2:A155))),"")</f>
        <v>0.19000000000000003</v>
      </c>
      <c r="B155" s="39" cm="1">
        <f t="array" ref="B155">IFERROR(INDEX('Row Level Master Sheet'!$K$2:$K$1001,_xlfn.AGGREGATE(15,6,(ROW('Row Level Master Sheet'!$K$2:$K$1001)-ROW('Row Level Master Sheet'!$K$2)+1)/('Row Level Master Sheet'!$C$2:$C$1001="Traditional"),ROWS($B$2:B155))),"")</f>
        <v>0.65</v>
      </c>
    </row>
    <row r="156" spans="1:2" x14ac:dyDescent="0.35">
      <c r="A156" cm="1">
        <f t="array" ref="A156">IFERROR(INDEX('Row Level Master Sheet'!$K$2:$K$1001,_xlfn.AGGREGATE(15,6,(ROW('Row Level Master Sheet'!$K$2:$K$1001)-ROW('Row Level Master Sheet'!$K$2)+1)/('Row Level Master Sheet'!$C$2:$C$1001="Digital"),ROWS($A$2:A156))),"")</f>
        <v>0.19000000000000003</v>
      </c>
      <c r="B156" s="39" cm="1">
        <f t="array" ref="B156">IFERROR(INDEX('Row Level Master Sheet'!$K$2:$K$1001,_xlfn.AGGREGATE(15,6,(ROW('Row Level Master Sheet'!$K$2:$K$1001)-ROW('Row Level Master Sheet'!$K$2)+1)/('Row Level Master Sheet'!$C$2:$C$1001="Traditional"),ROWS($B$2:B156))),"")</f>
        <v>0.65</v>
      </c>
    </row>
    <row r="157" spans="1:2" x14ac:dyDescent="0.35">
      <c r="A157" cm="1">
        <f t="array" ref="A157">IFERROR(INDEX('Row Level Master Sheet'!$K$2:$K$1001,_xlfn.AGGREGATE(15,6,(ROW('Row Level Master Sheet'!$K$2:$K$1001)-ROW('Row Level Master Sheet'!$K$2)+1)/('Row Level Master Sheet'!$C$2:$C$1001="Digital"),ROWS($A$2:A157))),"")</f>
        <v>0.19000000000000014</v>
      </c>
      <c r="B157" s="39" cm="1">
        <f t="array" ref="B157">IFERROR(INDEX('Row Level Master Sheet'!$K$2:$K$1001,_xlfn.AGGREGATE(15,6,(ROW('Row Level Master Sheet'!$K$2:$K$1001)-ROW('Row Level Master Sheet'!$K$2)+1)/('Row Level Master Sheet'!$C$2:$C$1001="Traditional"),ROWS($B$2:B157))),"")</f>
        <v>0.65000000000000013</v>
      </c>
    </row>
    <row r="158" spans="1:2" x14ac:dyDescent="0.35">
      <c r="A158" cm="1">
        <f t="array" ref="A158">IFERROR(INDEX('Row Level Master Sheet'!$K$2:$K$1001,_xlfn.AGGREGATE(15,6,(ROW('Row Level Master Sheet'!$K$2:$K$1001)-ROW('Row Level Master Sheet'!$K$2)+1)/('Row Level Master Sheet'!$C$2:$C$1001="Digital"),ROWS($A$2:A158))),"")</f>
        <v>0.19999999999999996</v>
      </c>
      <c r="B158" s="39" cm="1">
        <f t="array" ref="B158">IFERROR(INDEX('Row Level Master Sheet'!$K$2:$K$1001,_xlfn.AGGREGATE(15,6,(ROW('Row Level Master Sheet'!$K$2:$K$1001)-ROW('Row Level Master Sheet'!$K$2)+1)/('Row Level Master Sheet'!$C$2:$C$1001="Traditional"),ROWS($B$2:B158))),"")</f>
        <v>0.65999999999999981</v>
      </c>
    </row>
    <row r="159" spans="1:2" x14ac:dyDescent="0.35">
      <c r="A159" cm="1">
        <f t="array" ref="A159">IFERROR(INDEX('Row Level Master Sheet'!$K$2:$K$1001,_xlfn.AGGREGATE(15,6,(ROW('Row Level Master Sheet'!$K$2:$K$1001)-ROW('Row Level Master Sheet'!$K$2)+1)/('Row Level Master Sheet'!$C$2:$C$1001="Digital"),ROWS($A$2:A159))),"")</f>
        <v>0.19999999999999996</v>
      </c>
      <c r="B159" s="39" cm="1">
        <f t="array" ref="B159">IFERROR(INDEX('Row Level Master Sheet'!$K$2:$K$1001,_xlfn.AGGREGATE(15,6,(ROW('Row Level Master Sheet'!$K$2:$K$1001)-ROW('Row Level Master Sheet'!$K$2)+1)/('Row Level Master Sheet'!$C$2:$C$1001="Traditional"),ROWS($B$2:B159))),"")</f>
        <v>0.66999999999999993</v>
      </c>
    </row>
    <row r="160" spans="1:2" x14ac:dyDescent="0.35">
      <c r="A160" cm="1">
        <f t="array" ref="A160">IFERROR(INDEX('Row Level Master Sheet'!$K$2:$K$1001,_xlfn.AGGREGATE(15,6,(ROW('Row Level Master Sheet'!$K$2:$K$1001)-ROW('Row Level Master Sheet'!$K$2)+1)/('Row Level Master Sheet'!$C$2:$C$1001="Digital"),ROWS($A$2:A160))),"")</f>
        <v>0.19999999999999998</v>
      </c>
      <c r="B160" s="39" cm="1">
        <f t="array" ref="B160">IFERROR(INDEX('Row Level Master Sheet'!$K$2:$K$1001,_xlfn.AGGREGATE(15,6,(ROW('Row Level Master Sheet'!$K$2:$K$1001)-ROW('Row Level Master Sheet'!$K$2)+1)/('Row Level Master Sheet'!$C$2:$C$1001="Traditional"),ROWS($B$2:B160))),"")</f>
        <v>0.67</v>
      </c>
    </row>
    <row r="161" spans="1:2" x14ac:dyDescent="0.35">
      <c r="A161" cm="1">
        <f t="array" ref="A161">IFERROR(INDEX('Row Level Master Sheet'!$K$2:$K$1001,_xlfn.AGGREGATE(15,6,(ROW('Row Level Master Sheet'!$K$2:$K$1001)-ROW('Row Level Master Sheet'!$K$2)+1)/('Row Level Master Sheet'!$C$2:$C$1001="Digital"),ROWS($A$2:A161))),"")</f>
        <v>0.20000000000000012</v>
      </c>
      <c r="B161" s="39" cm="1">
        <f t="array" ref="B161">IFERROR(INDEX('Row Level Master Sheet'!$K$2:$K$1001,_xlfn.AGGREGATE(15,6,(ROW('Row Level Master Sheet'!$K$2:$K$1001)-ROW('Row Level Master Sheet'!$K$2)+1)/('Row Level Master Sheet'!$C$2:$C$1001="Traditional"),ROWS($B$2:B161))),"")</f>
        <v>0.67</v>
      </c>
    </row>
    <row r="162" spans="1:2" x14ac:dyDescent="0.35">
      <c r="A162" cm="1">
        <f t="array" ref="A162">IFERROR(INDEX('Row Level Master Sheet'!$K$2:$K$1001,_xlfn.AGGREGATE(15,6,(ROW('Row Level Master Sheet'!$K$2:$K$1001)-ROW('Row Level Master Sheet'!$K$2)+1)/('Row Level Master Sheet'!$C$2:$C$1001="Digital"),ROWS($A$2:A162))),"")</f>
        <v>0.21000000000000002</v>
      </c>
      <c r="B162" s="39" cm="1">
        <f t="array" ref="B162">IFERROR(INDEX('Row Level Master Sheet'!$K$2:$K$1001,_xlfn.AGGREGATE(15,6,(ROW('Row Level Master Sheet'!$K$2:$K$1001)-ROW('Row Level Master Sheet'!$K$2)+1)/('Row Level Master Sheet'!$C$2:$C$1001="Traditional"),ROWS($B$2:B162))),"")</f>
        <v>0.67</v>
      </c>
    </row>
    <row r="163" spans="1:2" x14ac:dyDescent="0.35">
      <c r="A163" cm="1">
        <f t="array" ref="A163">IFERROR(INDEX('Row Level Master Sheet'!$K$2:$K$1001,_xlfn.AGGREGATE(15,6,(ROW('Row Level Master Sheet'!$K$2:$K$1001)-ROW('Row Level Master Sheet'!$K$2)+1)/('Row Level Master Sheet'!$C$2:$C$1001="Digital"),ROWS($A$2:A163))),"")</f>
        <v>0.21000000000000005</v>
      </c>
      <c r="B163" s="39" cm="1">
        <f t="array" ref="B163">IFERROR(INDEX('Row Level Master Sheet'!$K$2:$K$1001,_xlfn.AGGREGATE(15,6,(ROW('Row Level Master Sheet'!$K$2:$K$1001)-ROW('Row Level Master Sheet'!$K$2)+1)/('Row Level Master Sheet'!$C$2:$C$1001="Traditional"),ROWS($B$2:B163))),"")</f>
        <v>0.67</v>
      </c>
    </row>
    <row r="164" spans="1:2" x14ac:dyDescent="0.35">
      <c r="A164" cm="1">
        <f t="array" ref="A164">IFERROR(INDEX('Row Level Master Sheet'!$K$2:$K$1001,_xlfn.AGGREGATE(15,6,(ROW('Row Level Master Sheet'!$K$2:$K$1001)-ROW('Row Level Master Sheet'!$K$2)+1)/('Row Level Master Sheet'!$C$2:$C$1001="Digital"),ROWS($A$2:A164))),"")</f>
        <v>0.21999999999999989</v>
      </c>
      <c r="B164" s="39" cm="1">
        <f t="array" ref="B164">IFERROR(INDEX('Row Level Master Sheet'!$K$2:$K$1001,_xlfn.AGGREGATE(15,6,(ROW('Row Level Master Sheet'!$K$2:$K$1001)-ROW('Row Level Master Sheet'!$K$2)+1)/('Row Level Master Sheet'!$C$2:$C$1001="Traditional"),ROWS($B$2:B164))),"")</f>
        <v>0.67</v>
      </c>
    </row>
    <row r="165" spans="1:2" x14ac:dyDescent="0.35">
      <c r="A165" cm="1">
        <f t="array" ref="A165">IFERROR(INDEX('Row Level Master Sheet'!$K$2:$K$1001,_xlfn.AGGREGATE(15,6,(ROW('Row Level Master Sheet'!$K$2:$K$1001)-ROW('Row Level Master Sheet'!$K$2)+1)/('Row Level Master Sheet'!$C$2:$C$1001="Digital"),ROWS($A$2:A165))),"")</f>
        <v>0.21999999999999997</v>
      </c>
      <c r="B165" s="39" cm="1">
        <f t="array" ref="B165">IFERROR(INDEX('Row Level Master Sheet'!$K$2:$K$1001,_xlfn.AGGREGATE(15,6,(ROW('Row Level Master Sheet'!$K$2:$K$1001)-ROW('Row Level Master Sheet'!$K$2)+1)/('Row Level Master Sheet'!$C$2:$C$1001="Traditional"),ROWS($B$2:B165))),"")</f>
        <v>0.67000000000000026</v>
      </c>
    </row>
    <row r="166" spans="1:2" x14ac:dyDescent="0.35">
      <c r="A166" cm="1">
        <f t="array" ref="A166">IFERROR(INDEX('Row Level Master Sheet'!$K$2:$K$1001,_xlfn.AGGREGATE(15,6,(ROW('Row Level Master Sheet'!$K$2:$K$1001)-ROW('Row Level Master Sheet'!$K$2)+1)/('Row Level Master Sheet'!$C$2:$C$1001="Digital"),ROWS($A$2:A166))),"")</f>
        <v>0.22999999999999993</v>
      </c>
      <c r="B166" s="39" cm="1">
        <f t="array" ref="B166">IFERROR(INDEX('Row Level Master Sheet'!$K$2:$K$1001,_xlfn.AGGREGATE(15,6,(ROW('Row Level Master Sheet'!$K$2:$K$1001)-ROW('Row Level Master Sheet'!$K$2)+1)/('Row Level Master Sheet'!$C$2:$C$1001="Traditional"),ROWS($B$2:B166))),"")</f>
        <v>0.67999999999999994</v>
      </c>
    </row>
    <row r="167" spans="1:2" x14ac:dyDescent="0.35">
      <c r="A167" cm="1">
        <f t="array" ref="A167">IFERROR(INDEX('Row Level Master Sheet'!$K$2:$K$1001,_xlfn.AGGREGATE(15,6,(ROW('Row Level Master Sheet'!$K$2:$K$1001)-ROW('Row Level Master Sheet'!$K$2)+1)/('Row Level Master Sheet'!$C$2:$C$1001="Digital"),ROWS($A$2:A167))),"")</f>
        <v>0.22999999999999995</v>
      </c>
      <c r="B167" s="39" cm="1">
        <f t="array" ref="B167">IFERROR(INDEX('Row Level Master Sheet'!$K$2:$K$1001,_xlfn.AGGREGATE(15,6,(ROW('Row Level Master Sheet'!$K$2:$K$1001)-ROW('Row Level Master Sheet'!$K$2)+1)/('Row Level Master Sheet'!$C$2:$C$1001="Traditional"),ROWS($B$2:B167))),"")</f>
        <v>0.68</v>
      </c>
    </row>
    <row r="168" spans="1:2" x14ac:dyDescent="0.35">
      <c r="A168" cm="1">
        <f t="array" ref="A168">IFERROR(INDEX('Row Level Master Sheet'!$K$2:$K$1001,_xlfn.AGGREGATE(15,6,(ROW('Row Level Master Sheet'!$K$2:$K$1001)-ROW('Row Level Master Sheet'!$K$2)+1)/('Row Level Master Sheet'!$C$2:$C$1001="Digital"),ROWS($A$2:A168))),"")</f>
        <v>0.22999999999999998</v>
      </c>
      <c r="B168" s="39" cm="1">
        <f t="array" ref="B168">IFERROR(INDEX('Row Level Master Sheet'!$K$2:$K$1001,_xlfn.AGGREGATE(15,6,(ROW('Row Level Master Sheet'!$K$2:$K$1001)-ROW('Row Level Master Sheet'!$K$2)+1)/('Row Level Master Sheet'!$C$2:$C$1001="Traditional"),ROWS($B$2:B168))),"")</f>
        <v>0.69</v>
      </c>
    </row>
    <row r="169" spans="1:2" x14ac:dyDescent="0.35">
      <c r="A169" cm="1">
        <f t="array" ref="A169">IFERROR(INDEX('Row Level Master Sheet'!$K$2:$K$1001,_xlfn.AGGREGATE(15,6,(ROW('Row Level Master Sheet'!$K$2:$K$1001)-ROW('Row Level Master Sheet'!$K$2)+1)/('Row Level Master Sheet'!$C$2:$C$1001="Digital"),ROWS($A$2:A169))),"")</f>
        <v>0.22999999999999998</v>
      </c>
      <c r="B169" s="39" cm="1">
        <f t="array" ref="B169">IFERROR(INDEX('Row Level Master Sheet'!$K$2:$K$1001,_xlfn.AGGREGATE(15,6,(ROW('Row Level Master Sheet'!$K$2:$K$1001)-ROW('Row Level Master Sheet'!$K$2)+1)/('Row Level Master Sheet'!$C$2:$C$1001="Traditional"),ROWS($B$2:B169))),"")</f>
        <v>0.70000000000000029</v>
      </c>
    </row>
    <row r="170" spans="1:2" x14ac:dyDescent="0.35">
      <c r="A170" cm="1">
        <f t="array" ref="A170">IFERROR(INDEX('Row Level Master Sheet'!$K$2:$K$1001,_xlfn.AGGREGATE(15,6,(ROW('Row Level Master Sheet'!$K$2:$K$1001)-ROW('Row Level Master Sheet'!$K$2)+1)/('Row Level Master Sheet'!$C$2:$C$1001="Digital"),ROWS($A$2:A170))),"")</f>
        <v>0.23000000000000007</v>
      </c>
      <c r="B170" s="39" cm="1">
        <f t="array" ref="B170">IFERROR(INDEX('Row Level Master Sheet'!$K$2:$K$1001,_xlfn.AGGREGATE(15,6,(ROW('Row Level Master Sheet'!$K$2:$K$1001)-ROW('Row Level Master Sheet'!$K$2)+1)/('Row Level Master Sheet'!$C$2:$C$1001="Traditional"),ROWS($B$2:B170))),"")</f>
        <v>0.71</v>
      </c>
    </row>
    <row r="171" spans="1:2" x14ac:dyDescent="0.35">
      <c r="A171" cm="1">
        <f t="array" ref="A171">IFERROR(INDEX('Row Level Master Sheet'!$K$2:$K$1001,_xlfn.AGGREGATE(15,6,(ROW('Row Level Master Sheet'!$K$2:$K$1001)-ROW('Row Level Master Sheet'!$K$2)+1)/('Row Level Master Sheet'!$C$2:$C$1001="Digital"),ROWS($A$2:A171))),"")</f>
        <v>0.23000000000000007</v>
      </c>
      <c r="B171" s="39" cm="1">
        <f t="array" ref="B171">IFERROR(INDEX('Row Level Master Sheet'!$K$2:$K$1001,_xlfn.AGGREGATE(15,6,(ROW('Row Level Master Sheet'!$K$2:$K$1001)-ROW('Row Level Master Sheet'!$K$2)+1)/('Row Level Master Sheet'!$C$2:$C$1001="Traditional"),ROWS($B$2:B171))),"")</f>
        <v>0.71</v>
      </c>
    </row>
    <row r="172" spans="1:2" x14ac:dyDescent="0.35">
      <c r="A172" cm="1">
        <f t="array" ref="A172">IFERROR(INDEX('Row Level Master Sheet'!$K$2:$K$1001,_xlfn.AGGREGATE(15,6,(ROW('Row Level Master Sheet'!$K$2:$K$1001)-ROW('Row Level Master Sheet'!$K$2)+1)/('Row Level Master Sheet'!$C$2:$C$1001="Digital"),ROWS($A$2:A172))),"")</f>
        <v>0.23000000000000009</v>
      </c>
      <c r="B172" s="39" cm="1">
        <f t="array" ref="B172">IFERROR(INDEX('Row Level Master Sheet'!$K$2:$K$1001,_xlfn.AGGREGATE(15,6,(ROW('Row Level Master Sheet'!$K$2:$K$1001)-ROW('Row Level Master Sheet'!$K$2)+1)/('Row Level Master Sheet'!$C$2:$C$1001="Traditional"),ROWS($B$2:B172))),"")</f>
        <v>0.71000000000000019</v>
      </c>
    </row>
    <row r="173" spans="1:2" x14ac:dyDescent="0.35">
      <c r="A173" cm="1">
        <f t="array" ref="A173">IFERROR(INDEX('Row Level Master Sheet'!$K$2:$K$1001,_xlfn.AGGREGATE(15,6,(ROW('Row Level Master Sheet'!$K$2:$K$1001)-ROW('Row Level Master Sheet'!$K$2)+1)/('Row Level Master Sheet'!$C$2:$C$1001="Digital"),ROWS($A$2:A173))),"")</f>
        <v>0.23000000000000012</v>
      </c>
      <c r="B173" s="39" cm="1">
        <f t="array" ref="B173">IFERROR(INDEX('Row Level Master Sheet'!$K$2:$K$1001,_xlfn.AGGREGATE(15,6,(ROW('Row Level Master Sheet'!$K$2:$K$1001)-ROW('Row Level Master Sheet'!$K$2)+1)/('Row Level Master Sheet'!$C$2:$C$1001="Traditional"),ROWS($B$2:B173))),"")</f>
        <v>0.71000000000000019</v>
      </c>
    </row>
    <row r="174" spans="1:2" x14ac:dyDescent="0.35">
      <c r="A174" cm="1">
        <f t="array" ref="A174">IFERROR(INDEX('Row Level Master Sheet'!$K$2:$K$1001,_xlfn.AGGREGATE(15,6,(ROW('Row Level Master Sheet'!$K$2:$K$1001)-ROW('Row Level Master Sheet'!$K$2)+1)/('Row Level Master Sheet'!$C$2:$C$1001="Digital"),ROWS($A$2:A174))),"")</f>
        <v>0.23000000000000018</v>
      </c>
      <c r="B174" s="39" cm="1">
        <f t="array" ref="B174">IFERROR(INDEX('Row Level Master Sheet'!$K$2:$K$1001,_xlfn.AGGREGATE(15,6,(ROW('Row Level Master Sheet'!$K$2:$K$1001)-ROW('Row Level Master Sheet'!$K$2)+1)/('Row Level Master Sheet'!$C$2:$C$1001="Traditional"),ROWS($B$2:B174))),"")</f>
        <v>0.71000000000000019</v>
      </c>
    </row>
    <row r="175" spans="1:2" x14ac:dyDescent="0.35">
      <c r="A175" cm="1">
        <f t="array" ref="A175">IFERROR(INDEX('Row Level Master Sheet'!$K$2:$K$1001,_xlfn.AGGREGATE(15,6,(ROW('Row Level Master Sheet'!$K$2:$K$1001)-ROW('Row Level Master Sheet'!$K$2)+1)/('Row Level Master Sheet'!$C$2:$C$1001="Digital"),ROWS($A$2:A175))),"")</f>
        <v>0.23999999999999985</v>
      </c>
      <c r="B175" s="39" cm="1">
        <f t="array" ref="B175">IFERROR(INDEX('Row Level Master Sheet'!$K$2:$K$1001,_xlfn.AGGREGATE(15,6,(ROW('Row Level Master Sheet'!$K$2:$K$1001)-ROW('Row Level Master Sheet'!$K$2)+1)/('Row Level Master Sheet'!$C$2:$C$1001="Traditional"),ROWS($B$2:B175))),"")</f>
        <v>0.71999999999999986</v>
      </c>
    </row>
    <row r="176" spans="1:2" x14ac:dyDescent="0.35">
      <c r="A176" cm="1">
        <f t="array" ref="A176">IFERROR(INDEX('Row Level Master Sheet'!$K$2:$K$1001,_xlfn.AGGREGATE(15,6,(ROW('Row Level Master Sheet'!$K$2:$K$1001)-ROW('Row Level Master Sheet'!$K$2)+1)/('Row Level Master Sheet'!$C$2:$C$1001="Digital"),ROWS($A$2:A176))),"")</f>
        <v>0.23999999999999996</v>
      </c>
      <c r="B176" s="39" cm="1">
        <f t="array" ref="B176">IFERROR(INDEX('Row Level Master Sheet'!$K$2:$K$1001,_xlfn.AGGREGATE(15,6,(ROW('Row Level Master Sheet'!$K$2:$K$1001)-ROW('Row Level Master Sheet'!$K$2)+1)/('Row Level Master Sheet'!$C$2:$C$1001="Traditional"),ROWS($B$2:B176))),"")</f>
        <v>0.72</v>
      </c>
    </row>
    <row r="177" spans="1:2" x14ac:dyDescent="0.35">
      <c r="A177" cm="1">
        <f t="array" ref="A177">IFERROR(INDEX('Row Level Master Sheet'!$K$2:$K$1001,_xlfn.AGGREGATE(15,6,(ROW('Row Level Master Sheet'!$K$2:$K$1001)-ROW('Row Level Master Sheet'!$K$2)+1)/('Row Level Master Sheet'!$C$2:$C$1001="Digital"),ROWS($A$2:A177))),"")</f>
        <v>0.24000000000000007</v>
      </c>
      <c r="B177" s="39" cm="1">
        <f t="array" ref="B177">IFERROR(INDEX('Row Level Master Sheet'!$K$2:$K$1001,_xlfn.AGGREGATE(15,6,(ROW('Row Level Master Sheet'!$K$2:$K$1001)-ROW('Row Level Master Sheet'!$K$2)+1)/('Row Level Master Sheet'!$C$2:$C$1001="Traditional"),ROWS($B$2:B177))),"")</f>
        <v>0.72</v>
      </c>
    </row>
    <row r="178" spans="1:2" x14ac:dyDescent="0.35">
      <c r="A178" cm="1">
        <f t="array" ref="A178">IFERROR(INDEX('Row Level Master Sheet'!$K$2:$K$1001,_xlfn.AGGREGATE(15,6,(ROW('Row Level Master Sheet'!$K$2:$K$1001)-ROW('Row Level Master Sheet'!$K$2)+1)/('Row Level Master Sheet'!$C$2:$C$1001="Digital"),ROWS($A$2:A178))),"")</f>
        <v>0.2400000000000001</v>
      </c>
      <c r="B178" s="39" cm="1">
        <f t="array" ref="B178">IFERROR(INDEX('Row Level Master Sheet'!$K$2:$K$1001,_xlfn.AGGREGATE(15,6,(ROW('Row Level Master Sheet'!$K$2:$K$1001)-ROW('Row Level Master Sheet'!$K$2)+1)/('Row Level Master Sheet'!$C$2:$C$1001="Traditional"),ROWS($B$2:B178))),"")</f>
        <v>0.72999999999999976</v>
      </c>
    </row>
    <row r="179" spans="1:2" x14ac:dyDescent="0.35">
      <c r="A179" cm="1">
        <f t="array" ref="A179">IFERROR(INDEX('Row Level Master Sheet'!$K$2:$K$1001,_xlfn.AGGREGATE(15,6,(ROW('Row Level Master Sheet'!$K$2:$K$1001)-ROW('Row Level Master Sheet'!$K$2)+1)/('Row Level Master Sheet'!$C$2:$C$1001="Digital"),ROWS($A$2:A179))),"")</f>
        <v>0.24000000000000013</v>
      </c>
      <c r="B179" s="39" cm="1">
        <f t="array" ref="B179">IFERROR(INDEX('Row Level Master Sheet'!$K$2:$K$1001,_xlfn.AGGREGATE(15,6,(ROW('Row Level Master Sheet'!$K$2:$K$1001)-ROW('Row Level Master Sheet'!$K$2)+1)/('Row Level Master Sheet'!$C$2:$C$1001="Traditional"),ROWS($B$2:B179))),"")</f>
        <v>0.73</v>
      </c>
    </row>
    <row r="180" spans="1:2" x14ac:dyDescent="0.35">
      <c r="A180" cm="1">
        <f t="array" ref="A180">IFERROR(INDEX('Row Level Master Sheet'!$K$2:$K$1001,_xlfn.AGGREGATE(15,6,(ROW('Row Level Master Sheet'!$K$2:$K$1001)-ROW('Row Level Master Sheet'!$K$2)+1)/('Row Level Master Sheet'!$C$2:$C$1001="Digital"),ROWS($A$2:A180))),"")</f>
        <v>0.24000000000000016</v>
      </c>
      <c r="B180" s="39" cm="1">
        <f t="array" ref="B180">IFERROR(INDEX('Row Level Master Sheet'!$K$2:$K$1001,_xlfn.AGGREGATE(15,6,(ROW('Row Level Master Sheet'!$K$2:$K$1001)-ROW('Row Level Master Sheet'!$K$2)+1)/('Row Level Master Sheet'!$C$2:$C$1001="Traditional"),ROWS($B$2:B180))),"")</f>
        <v>0.73000000000000009</v>
      </c>
    </row>
    <row r="181" spans="1:2" x14ac:dyDescent="0.35">
      <c r="A181" cm="1">
        <f t="array" ref="A181">IFERROR(INDEX('Row Level Master Sheet'!$K$2:$K$1001,_xlfn.AGGREGATE(15,6,(ROW('Row Level Master Sheet'!$K$2:$K$1001)-ROW('Row Level Master Sheet'!$K$2)+1)/('Row Level Master Sheet'!$C$2:$C$1001="Digital"),ROWS($A$2:A181))),"")</f>
        <v>0.24999999999999983</v>
      </c>
      <c r="B181" s="39" cm="1">
        <f t="array" ref="B181">IFERROR(INDEX('Row Level Master Sheet'!$K$2:$K$1001,_xlfn.AGGREGATE(15,6,(ROW('Row Level Master Sheet'!$K$2:$K$1001)-ROW('Row Level Master Sheet'!$K$2)+1)/('Row Level Master Sheet'!$C$2:$C$1001="Traditional"),ROWS($B$2:B181))),"")</f>
        <v>0.74</v>
      </c>
    </row>
    <row r="182" spans="1:2" x14ac:dyDescent="0.35">
      <c r="A182" cm="1">
        <f t="array" ref="A182">IFERROR(INDEX('Row Level Master Sheet'!$K$2:$K$1001,_xlfn.AGGREGATE(15,6,(ROW('Row Level Master Sheet'!$K$2:$K$1001)-ROW('Row Level Master Sheet'!$K$2)+1)/('Row Level Master Sheet'!$C$2:$C$1001="Digital"),ROWS($A$2:A182))),"")</f>
        <v>0.25000000000000006</v>
      </c>
      <c r="B182" s="39" cm="1">
        <f t="array" ref="B182">IFERROR(INDEX('Row Level Master Sheet'!$K$2:$K$1001,_xlfn.AGGREGATE(15,6,(ROW('Row Level Master Sheet'!$K$2:$K$1001)-ROW('Row Level Master Sheet'!$K$2)+1)/('Row Level Master Sheet'!$C$2:$C$1001="Traditional"),ROWS($B$2:B182))),"")</f>
        <v>0.74</v>
      </c>
    </row>
    <row r="183" spans="1:2" x14ac:dyDescent="0.35">
      <c r="A183" cm="1">
        <f t="array" ref="A183">IFERROR(INDEX('Row Level Master Sheet'!$K$2:$K$1001,_xlfn.AGGREGATE(15,6,(ROW('Row Level Master Sheet'!$K$2:$K$1001)-ROW('Row Level Master Sheet'!$K$2)+1)/('Row Level Master Sheet'!$C$2:$C$1001="Digital"),ROWS($A$2:A183))),"")</f>
        <v>0.25000000000000011</v>
      </c>
      <c r="B183" s="39" cm="1">
        <f t="array" ref="B183">IFERROR(INDEX('Row Level Master Sheet'!$K$2:$K$1001,_xlfn.AGGREGATE(15,6,(ROW('Row Level Master Sheet'!$K$2:$K$1001)-ROW('Row Level Master Sheet'!$K$2)+1)/('Row Level Master Sheet'!$C$2:$C$1001="Traditional"),ROWS($B$2:B183))),"")</f>
        <v>0.7400000000000001</v>
      </c>
    </row>
    <row r="184" spans="1:2" x14ac:dyDescent="0.35">
      <c r="A184" cm="1">
        <f t="array" ref="A184">IFERROR(INDEX('Row Level Master Sheet'!$K$2:$K$1001,_xlfn.AGGREGATE(15,6,(ROW('Row Level Master Sheet'!$K$2:$K$1001)-ROW('Row Level Master Sheet'!$K$2)+1)/('Row Level Master Sheet'!$C$2:$C$1001="Digital"),ROWS($A$2:A184))),"")</f>
        <v>0.25000000000000011</v>
      </c>
      <c r="B184" s="39" cm="1">
        <f t="array" ref="B184">IFERROR(INDEX('Row Level Master Sheet'!$K$2:$K$1001,_xlfn.AGGREGATE(15,6,(ROW('Row Level Master Sheet'!$K$2:$K$1001)-ROW('Row Level Master Sheet'!$K$2)+1)/('Row Level Master Sheet'!$C$2:$C$1001="Traditional"),ROWS($B$2:B184))),"")</f>
        <v>0.74000000000000021</v>
      </c>
    </row>
    <row r="185" spans="1:2" x14ac:dyDescent="0.35">
      <c r="A185" cm="1">
        <f t="array" ref="A185">IFERROR(INDEX('Row Level Master Sheet'!$K$2:$K$1001,_xlfn.AGGREGATE(15,6,(ROW('Row Level Master Sheet'!$K$2:$K$1001)-ROW('Row Level Master Sheet'!$K$2)+1)/('Row Level Master Sheet'!$C$2:$C$1001="Digital"),ROWS($A$2:A185))),"")</f>
        <v>0.25000000000000017</v>
      </c>
      <c r="B185" s="39" cm="1">
        <f t="array" ref="B185">IFERROR(INDEX('Row Level Master Sheet'!$K$2:$K$1001,_xlfn.AGGREGATE(15,6,(ROW('Row Level Master Sheet'!$K$2:$K$1001)-ROW('Row Level Master Sheet'!$K$2)+1)/('Row Level Master Sheet'!$C$2:$C$1001="Traditional"),ROWS($B$2:B185))),"")</f>
        <v>0.75999999999999979</v>
      </c>
    </row>
    <row r="186" spans="1:2" x14ac:dyDescent="0.35">
      <c r="A186" cm="1">
        <f t="array" ref="A186">IFERROR(INDEX('Row Level Master Sheet'!$K$2:$K$1001,_xlfn.AGGREGATE(15,6,(ROW('Row Level Master Sheet'!$K$2:$K$1001)-ROW('Row Level Master Sheet'!$K$2)+1)/('Row Level Master Sheet'!$C$2:$C$1001="Digital"),ROWS($A$2:A186))),"")</f>
        <v>0.26</v>
      </c>
      <c r="B186" s="39" cm="1">
        <f t="array" ref="B186">IFERROR(INDEX('Row Level Master Sheet'!$K$2:$K$1001,_xlfn.AGGREGATE(15,6,(ROW('Row Level Master Sheet'!$K$2:$K$1001)-ROW('Row Level Master Sheet'!$K$2)+1)/('Row Level Master Sheet'!$C$2:$C$1001="Traditional"),ROWS($B$2:B186))),"")</f>
        <v>0.76</v>
      </c>
    </row>
    <row r="187" spans="1:2" x14ac:dyDescent="0.35">
      <c r="A187" cm="1">
        <f t="array" ref="A187">IFERROR(INDEX('Row Level Master Sheet'!$K$2:$K$1001,_xlfn.AGGREGATE(15,6,(ROW('Row Level Master Sheet'!$K$2:$K$1001)-ROW('Row Level Master Sheet'!$K$2)+1)/('Row Level Master Sheet'!$C$2:$C$1001="Digital"),ROWS($A$2:A187))),"")</f>
        <v>0.26000000000000006</v>
      </c>
      <c r="B187" s="39" cm="1">
        <f t="array" ref="B187">IFERROR(INDEX('Row Level Master Sheet'!$K$2:$K$1001,_xlfn.AGGREGATE(15,6,(ROW('Row Level Master Sheet'!$K$2:$K$1001)-ROW('Row Level Master Sheet'!$K$2)+1)/('Row Level Master Sheet'!$C$2:$C$1001="Traditional"),ROWS($B$2:B187))),"")</f>
        <v>0.76999999999999968</v>
      </c>
    </row>
    <row r="188" spans="1:2" x14ac:dyDescent="0.35">
      <c r="A188" cm="1">
        <f t="array" ref="A188">IFERROR(INDEX('Row Level Master Sheet'!$K$2:$K$1001,_xlfn.AGGREGATE(15,6,(ROW('Row Level Master Sheet'!$K$2:$K$1001)-ROW('Row Level Master Sheet'!$K$2)+1)/('Row Level Master Sheet'!$C$2:$C$1001="Digital"),ROWS($A$2:A188))),"")</f>
        <v>0.26999999999999991</v>
      </c>
      <c r="B188" s="39" cm="1">
        <f t="array" ref="B188">IFERROR(INDEX('Row Level Master Sheet'!$K$2:$K$1001,_xlfn.AGGREGATE(15,6,(ROW('Row Level Master Sheet'!$K$2:$K$1001)-ROW('Row Level Master Sheet'!$K$2)+1)/('Row Level Master Sheet'!$C$2:$C$1001="Traditional"),ROWS($B$2:B188))),"")</f>
        <v>0.77</v>
      </c>
    </row>
    <row r="189" spans="1:2" x14ac:dyDescent="0.35">
      <c r="A189" cm="1">
        <f t="array" ref="A189">IFERROR(INDEX('Row Level Master Sheet'!$K$2:$K$1001,_xlfn.AGGREGATE(15,6,(ROW('Row Level Master Sheet'!$K$2:$K$1001)-ROW('Row Level Master Sheet'!$K$2)+1)/('Row Level Master Sheet'!$C$2:$C$1001="Digital"),ROWS($A$2:A189))),"")</f>
        <v>0.27</v>
      </c>
      <c r="B189" s="39" cm="1">
        <f t="array" ref="B189">IFERROR(INDEX('Row Level Master Sheet'!$K$2:$K$1001,_xlfn.AGGREGATE(15,6,(ROW('Row Level Master Sheet'!$K$2:$K$1001)-ROW('Row Level Master Sheet'!$K$2)+1)/('Row Level Master Sheet'!$C$2:$C$1001="Traditional"),ROWS($B$2:B189))),"")</f>
        <v>0.77</v>
      </c>
    </row>
    <row r="190" spans="1:2" x14ac:dyDescent="0.35">
      <c r="A190" cm="1">
        <f t="array" ref="A190">IFERROR(INDEX('Row Level Master Sheet'!$K$2:$K$1001,_xlfn.AGGREGATE(15,6,(ROW('Row Level Master Sheet'!$K$2:$K$1001)-ROW('Row Level Master Sheet'!$K$2)+1)/('Row Level Master Sheet'!$C$2:$C$1001="Digital"),ROWS($A$2:A190))),"")</f>
        <v>0.27</v>
      </c>
      <c r="B190" s="39" cm="1">
        <f t="array" ref="B190">IFERROR(INDEX('Row Level Master Sheet'!$K$2:$K$1001,_xlfn.AGGREGATE(15,6,(ROW('Row Level Master Sheet'!$K$2:$K$1001)-ROW('Row Level Master Sheet'!$K$2)+1)/('Row Level Master Sheet'!$C$2:$C$1001="Traditional"),ROWS($B$2:B190))),"")</f>
        <v>0.77999999999999992</v>
      </c>
    </row>
    <row r="191" spans="1:2" x14ac:dyDescent="0.35">
      <c r="A191" cm="1">
        <f t="array" ref="A191">IFERROR(INDEX('Row Level Master Sheet'!$K$2:$K$1001,_xlfn.AGGREGATE(15,6,(ROW('Row Level Master Sheet'!$K$2:$K$1001)-ROW('Row Level Master Sheet'!$K$2)+1)/('Row Level Master Sheet'!$C$2:$C$1001="Digital"),ROWS($A$2:A191))),"")</f>
        <v>0.27000000000000007</v>
      </c>
      <c r="B191" s="39" cm="1">
        <f t="array" ref="B191">IFERROR(INDEX('Row Level Master Sheet'!$K$2:$K$1001,_xlfn.AGGREGATE(15,6,(ROW('Row Level Master Sheet'!$K$2:$K$1001)-ROW('Row Level Master Sheet'!$K$2)+1)/('Row Level Master Sheet'!$C$2:$C$1001="Traditional"),ROWS($B$2:B191))),"")</f>
        <v>0.7899999999999997</v>
      </c>
    </row>
    <row r="192" spans="1:2" x14ac:dyDescent="0.35">
      <c r="A192" cm="1">
        <f t="array" ref="A192">IFERROR(INDEX('Row Level Master Sheet'!$K$2:$K$1001,_xlfn.AGGREGATE(15,6,(ROW('Row Level Master Sheet'!$K$2:$K$1001)-ROW('Row Level Master Sheet'!$K$2)+1)/('Row Level Master Sheet'!$C$2:$C$1001="Digital"),ROWS($A$2:A192))),"")</f>
        <v>0.27000000000000013</v>
      </c>
      <c r="B192" s="39" cm="1">
        <f t="array" ref="B192">IFERROR(INDEX('Row Level Master Sheet'!$K$2:$K$1001,_xlfn.AGGREGATE(15,6,(ROW('Row Level Master Sheet'!$K$2:$K$1001)-ROW('Row Level Master Sheet'!$K$2)+1)/('Row Level Master Sheet'!$C$2:$C$1001="Traditional"),ROWS($B$2:B192))),"")</f>
        <v>0.78999999999999992</v>
      </c>
    </row>
    <row r="193" spans="1:2" x14ac:dyDescent="0.35">
      <c r="A193" cm="1">
        <f t="array" ref="A193">IFERROR(INDEX('Row Level Master Sheet'!$K$2:$K$1001,_xlfn.AGGREGATE(15,6,(ROW('Row Level Master Sheet'!$K$2:$K$1001)-ROW('Row Level Master Sheet'!$K$2)+1)/('Row Level Master Sheet'!$C$2:$C$1001="Digital"),ROWS($A$2:A193))),"")</f>
        <v>0.27999999999999992</v>
      </c>
      <c r="B193" s="39" cm="1">
        <f t="array" ref="B193">IFERROR(INDEX('Row Level Master Sheet'!$K$2:$K$1001,_xlfn.AGGREGATE(15,6,(ROW('Row Level Master Sheet'!$K$2:$K$1001)-ROW('Row Level Master Sheet'!$K$2)+1)/('Row Level Master Sheet'!$C$2:$C$1001="Traditional"),ROWS($B$2:B193))),"")</f>
        <v>0.78999999999999992</v>
      </c>
    </row>
    <row r="194" spans="1:2" x14ac:dyDescent="0.35">
      <c r="A194" cm="1">
        <f t="array" ref="A194">IFERROR(INDEX('Row Level Master Sheet'!$K$2:$K$1001,_xlfn.AGGREGATE(15,6,(ROW('Row Level Master Sheet'!$K$2:$K$1001)-ROW('Row Level Master Sheet'!$K$2)+1)/('Row Level Master Sheet'!$C$2:$C$1001="Digital"),ROWS($A$2:A194))),"")</f>
        <v>0.27999999999999992</v>
      </c>
      <c r="B194" s="39" cm="1">
        <f t="array" ref="B194">IFERROR(INDEX('Row Level Master Sheet'!$K$2:$K$1001,_xlfn.AGGREGATE(15,6,(ROW('Row Level Master Sheet'!$K$2:$K$1001)-ROW('Row Level Master Sheet'!$K$2)+1)/('Row Level Master Sheet'!$C$2:$C$1001="Traditional"),ROWS($B$2:B194))),"")</f>
        <v>0.79000000000000015</v>
      </c>
    </row>
    <row r="195" spans="1:2" x14ac:dyDescent="0.35">
      <c r="A195" cm="1">
        <f t="array" ref="A195">IFERROR(INDEX('Row Level Master Sheet'!$K$2:$K$1001,_xlfn.AGGREGATE(15,6,(ROW('Row Level Master Sheet'!$K$2:$K$1001)-ROW('Row Level Master Sheet'!$K$2)+1)/('Row Level Master Sheet'!$C$2:$C$1001="Digital"),ROWS($A$2:A195))),"")</f>
        <v>0.28000000000000003</v>
      </c>
      <c r="B195" s="39" cm="1">
        <f t="array" ref="B195">IFERROR(INDEX('Row Level Master Sheet'!$K$2:$K$1001,_xlfn.AGGREGATE(15,6,(ROW('Row Level Master Sheet'!$K$2:$K$1001)-ROW('Row Level Master Sheet'!$K$2)+1)/('Row Level Master Sheet'!$C$2:$C$1001="Traditional"),ROWS($B$2:B195))),"")</f>
        <v>0.79999999999999993</v>
      </c>
    </row>
    <row r="196" spans="1:2" x14ac:dyDescent="0.35">
      <c r="A196" cm="1">
        <f t="array" ref="A196">IFERROR(INDEX('Row Level Master Sheet'!$K$2:$K$1001,_xlfn.AGGREGATE(15,6,(ROW('Row Level Master Sheet'!$K$2:$K$1001)-ROW('Row Level Master Sheet'!$K$2)+1)/('Row Level Master Sheet'!$C$2:$C$1001="Digital"),ROWS($A$2:A196))),"")</f>
        <v>0.28000000000000003</v>
      </c>
      <c r="B196" s="39" cm="1">
        <f t="array" ref="B196">IFERROR(INDEX('Row Level Master Sheet'!$K$2:$K$1001,_xlfn.AGGREGATE(15,6,(ROW('Row Level Master Sheet'!$K$2:$K$1001)-ROW('Row Level Master Sheet'!$K$2)+1)/('Row Level Master Sheet'!$C$2:$C$1001="Traditional"),ROWS($B$2:B196))),"")</f>
        <v>0.79999999999999993</v>
      </c>
    </row>
    <row r="197" spans="1:2" x14ac:dyDescent="0.35">
      <c r="A197" cm="1">
        <f t="array" ref="A197">IFERROR(INDEX('Row Level Master Sheet'!$K$2:$K$1001,_xlfn.AGGREGATE(15,6,(ROW('Row Level Master Sheet'!$K$2:$K$1001)-ROW('Row Level Master Sheet'!$K$2)+1)/('Row Level Master Sheet'!$C$2:$C$1001="Digital"),ROWS($A$2:A197))),"")</f>
        <v>0.28000000000000003</v>
      </c>
      <c r="B197" s="39" cm="1">
        <f t="array" ref="B197">IFERROR(INDEX('Row Level Master Sheet'!$K$2:$K$1001,_xlfn.AGGREGATE(15,6,(ROW('Row Level Master Sheet'!$K$2:$K$1001)-ROW('Row Level Master Sheet'!$K$2)+1)/('Row Level Master Sheet'!$C$2:$C$1001="Traditional"),ROWS($B$2:B197))),"")</f>
        <v>0.8</v>
      </c>
    </row>
    <row r="198" spans="1:2" x14ac:dyDescent="0.35">
      <c r="A198" cm="1">
        <f t="array" ref="A198">IFERROR(INDEX('Row Level Master Sheet'!$K$2:$K$1001,_xlfn.AGGREGATE(15,6,(ROW('Row Level Master Sheet'!$K$2:$K$1001)-ROW('Row Level Master Sheet'!$K$2)+1)/('Row Level Master Sheet'!$C$2:$C$1001="Digital"),ROWS($A$2:A198))),"")</f>
        <v>0.28000000000000008</v>
      </c>
      <c r="B198" s="39" cm="1">
        <f t="array" ref="B198">IFERROR(INDEX('Row Level Master Sheet'!$K$2:$K$1001,_xlfn.AGGREGATE(15,6,(ROW('Row Level Master Sheet'!$K$2:$K$1001)-ROW('Row Level Master Sheet'!$K$2)+1)/('Row Level Master Sheet'!$C$2:$C$1001="Traditional"),ROWS($B$2:B198))),"")</f>
        <v>0.80999999999999983</v>
      </c>
    </row>
    <row r="199" spans="1:2" x14ac:dyDescent="0.35">
      <c r="A199" cm="1">
        <f t="array" ref="A199">IFERROR(INDEX('Row Level Master Sheet'!$K$2:$K$1001,_xlfn.AGGREGATE(15,6,(ROW('Row Level Master Sheet'!$K$2:$K$1001)-ROW('Row Level Master Sheet'!$K$2)+1)/('Row Level Master Sheet'!$C$2:$C$1001="Digital"),ROWS($A$2:A199))),"")</f>
        <v>0.28999999999999992</v>
      </c>
      <c r="B199" s="39" cm="1">
        <f t="array" ref="B199">IFERROR(INDEX('Row Level Master Sheet'!$K$2:$K$1001,_xlfn.AGGREGATE(15,6,(ROW('Row Level Master Sheet'!$K$2:$K$1001)-ROW('Row Level Master Sheet'!$K$2)+1)/('Row Level Master Sheet'!$C$2:$C$1001="Traditional"),ROWS($B$2:B199))),"")</f>
        <v>0.80999999999999983</v>
      </c>
    </row>
    <row r="200" spans="1:2" x14ac:dyDescent="0.35">
      <c r="A200" cm="1">
        <f t="array" ref="A200">IFERROR(INDEX('Row Level Master Sheet'!$K$2:$K$1001,_xlfn.AGGREGATE(15,6,(ROW('Row Level Master Sheet'!$K$2:$K$1001)-ROW('Row Level Master Sheet'!$K$2)+1)/('Row Level Master Sheet'!$C$2:$C$1001="Digital"),ROWS($A$2:A200))),"")</f>
        <v>0.28999999999999998</v>
      </c>
      <c r="B200" s="39" cm="1">
        <f t="array" ref="B200">IFERROR(INDEX('Row Level Master Sheet'!$K$2:$K$1001,_xlfn.AGGREGATE(15,6,(ROW('Row Level Master Sheet'!$K$2:$K$1001)-ROW('Row Level Master Sheet'!$K$2)+1)/('Row Level Master Sheet'!$C$2:$C$1001="Traditional"),ROWS($B$2:B200))),"")</f>
        <v>0.81</v>
      </c>
    </row>
    <row r="201" spans="1:2" x14ac:dyDescent="0.35">
      <c r="A201" cm="1">
        <f t="array" ref="A201">IFERROR(INDEX('Row Level Master Sheet'!$K$2:$K$1001,_xlfn.AGGREGATE(15,6,(ROW('Row Level Master Sheet'!$K$2:$K$1001)-ROW('Row Level Master Sheet'!$K$2)+1)/('Row Level Master Sheet'!$C$2:$C$1001="Digital"),ROWS($A$2:A201))),"")</f>
        <v>0.29000000000000004</v>
      </c>
      <c r="B201" s="39" cm="1">
        <f t="array" ref="B201">IFERROR(INDEX('Row Level Master Sheet'!$K$2:$K$1001,_xlfn.AGGREGATE(15,6,(ROW('Row Level Master Sheet'!$K$2:$K$1001)-ROW('Row Level Master Sheet'!$K$2)+1)/('Row Level Master Sheet'!$C$2:$C$1001="Traditional"),ROWS($B$2:B201))),"")</f>
        <v>0.82</v>
      </c>
    </row>
    <row r="202" spans="1:2" x14ac:dyDescent="0.35">
      <c r="A202" cm="1">
        <f t="array" ref="A202">IFERROR(INDEX('Row Level Master Sheet'!$K$2:$K$1001,_xlfn.AGGREGATE(15,6,(ROW('Row Level Master Sheet'!$K$2:$K$1001)-ROW('Row Level Master Sheet'!$K$2)+1)/('Row Level Master Sheet'!$C$2:$C$1001="Digital"),ROWS($A$2:A202))),"")</f>
        <v>0.29000000000000009</v>
      </c>
      <c r="B202" s="39" cm="1">
        <f t="array" ref="B202">IFERROR(INDEX('Row Level Master Sheet'!$K$2:$K$1001,_xlfn.AGGREGATE(15,6,(ROW('Row Level Master Sheet'!$K$2:$K$1001)-ROW('Row Level Master Sheet'!$K$2)+1)/('Row Level Master Sheet'!$C$2:$C$1001="Traditional"),ROWS($B$2:B202))),"")</f>
        <v>0.82000000000000006</v>
      </c>
    </row>
    <row r="203" spans="1:2" x14ac:dyDescent="0.35">
      <c r="A203" cm="1">
        <f t="array" ref="A203">IFERROR(INDEX('Row Level Master Sheet'!$K$2:$K$1001,_xlfn.AGGREGATE(15,6,(ROW('Row Level Master Sheet'!$K$2:$K$1001)-ROW('Row Level Master Sheet'!$K$2)+1)/('Row Level Master Sheet'!$C$2:$C$1001="Digital"),ROWS($A$2:A203))),"")</f>
        <v>0.29999999999999988</v>
      </c>
      <c r="B203" s="39" cm="1">
        <f t="array" ref="B203">IFERROR(INDEX('Row Level Master Sheet'!$K$2:$K$1001,_xlfn.AGGREGATE(15,6,(ROW('Row Level Master Sheet'!$K$2:$K$1001)-ROW('Row Level Master Sheet'!$K$2)+1)/('Row Level Master Sheet'!$C$2:$C$1001="Traditional"),ROWS($B$2:B203))),"")</f>
        <v>0.84999999999999987</v>
      </c>
    </row>
    <row r="204" spans="1:2" x14ac:dyDescent="0.35">
      <c r="A204" cm="1">
        <f t="array" ref="A204">IFERROR(INDEX('Row Level Master Sheet'!$K$2:$K$1001,_xlfn.AGGREGATE(15,6,(ROW('Row Level Master Sheet'!$K$2:$K$1001)-ROW('Row Level Master Sheet'!$K$2)+1)/('Row Level Master Sheet'!$C$2:$C$1001="Digital"),ROWS($A$2:A204))),"")</f>
        <v>0.29999999999999988</v>
      </c>
      <c r="B204" s="39" cm="1">
        <f t="array" ref="B204">IFERROR(INDEX('Row Level Master Sheet'!$K$2:$K$1001,_xlfn.AGGREGATE(15,6,(ROW('Row Level Master Sheet'!$K$2:$K$1001)-ROW('Row Level Master Sheet'!$K$2)+1)/('Row Level Master Sheet'!$C$2:$C$1001="Traditional"),ROWS($B$2:B204))),"")</f>
        <v>0.85000000000000009</v>
      </c>
    </row>
    <row r="205" spans="1:2" x14ac:dyDescent="0.35">
      <c r="A205" cm="1">
        <f t="array" ref="A205">IFERROR(INDEX('Row Level Master Sheet'!$K$2:$K$1001,_xlfn.AGGREGATE(15,6,(ROW('Row Level Master Sheet'!$K$2:$K$1001)-ROW('Row Level Master Sheet'!$K$2)+1)/('Row Level Master Sheet'!$C$2:$C$1001="Digital"),ROWS($A$2:A205))),"")</f>
        <v>0.29999999999999993</v>
      </c>
      <c r="B205" s="39" cm="1">
        <f t="array" ref="B205">IFERROR(INDEX('Row Level Master Sheet'!$K$2:$K$1001,_xlfn.AGGREGATE(15,6,(ROW('Row Level Master Sheet'!$K$2:$K$1001)-ROW('Row Level Master Sheet'!$K$2)+1)/('Row Level Master Sheet'!$C$2:$C$1001="Traditional"),ROWS($B$2:B205))),"")</f>
        <v>0.85000000000000009</v>
      </c>
    </row>
    <row r="206" spans="1:2" x14ac:dyDescent="0.35">
      <c r="A206" cm="1">
        <f t="array" ref="A206">IFERROR(INDEX('Row Level Master Sheet'!$K$2:$K$1001,_xlfn.AGGREGATE(15,6,(ROW('Row Level Master Sheet'!$K$2:$K$1001)-ROW('Row Level Master Sheet'!$K$2)+1)/('Row Level Master Sheet'!$C$2:$C$1001="Digital"),ROWS($A$2:A206))),"")</f>
        <v>0.29999999999999993</v>
      </c>
      <c r="B206" s="39" cm="1">
        <f t="array" ref="B206">IFERROR(INDEX('Row Level Master Sheet'!$K$2:$K$1001,_xlfn.AGGREGATE(15,6,(ROW('Row Level Master Sheet'!$K$2:$K$1001)-ROW('Row Level Master Sheet'!$K$2)+1)/('Row Level Master Sheet'!$C$2:$C$1001="Traditional"),ROWS($B$2:B206))),"")</f>
        <v>0.85999999999999976</v>
      </c>
    </row>
    <row r="207" spans="1:2" x14ac:dyDescent="0.35">
      <c r="A207" cm="1">
        <f t="array" ref="A207">IFERROR(INDEX('Row Level Master Sheet'!$K$2:$K$1001,_xlfn.AGGREGATE(15,6,(ROW('Row Level Master Sheet'!$K$2:$K$1001)-ROW('Row Level Master Sheet'!$K$2)+1)/('Row Level Master Sheet'!$C$2:$C$1001="Digital"),ROWS($A$2:A207))),"")</f>
        <v>0.30999999999999989</v>
      </c>
      <c r="B207" s="39" cm="1">
        <f t="array" ref="B207">IFERROR(INDEX('Row Level Master Sheet'!$K$2:$K$1001,_xlfn.AGGREGATE(15,6,(ROW('Row Level Master Sheet'!$K$2:$K$1001)-ROW('Row Level Master Sheet'!$K$2)+1)/('Row Level Master Sheet'!$C$2:$C$1001="Traditional"),ROWS($B$2:B207))),"")</f>
        <v>0.86</v>
      </c>
    </row>
    <row r="208" spans="1:2" x14ac:dyDescent="0.35">
      <c r="A208" cm="1">
        <f t="array" ref="A208">IFERROR(INDEX('Row Level Master Sheet'!$K$2:$K$1001,_xlfn.AGGREGATE(15,6,(ROW('Row Level Master Sheet'!$K$2:$K$1001)-ROW('Row Level Master Sheet'!$K$2)+1)/('Row Level Master Sheet'!$C$2:$C$1001="Digital"),ROWS($A$2:A208))),"")</f>
        <v>0.30999999999999994</v>
      </c>
      <c r="B208" s="39" cm="1">
        <f t="array" ref="B208">IFERROR(INDEX('Row Level Master Sheet'!$K$2:$K$1001,_xlfn.AGGREGATE(15,6,(ROW('Row Level Master Sheet'!$K$2:$K$1001)-ROW('Row Level Master Sheet'!$K$2)+1)/('Row Level Master Sheet'!$C$2:$C$1001="Traditional"),ROWS($B$2:B208))),"")</f>
        <v>0.8600000000000001</v>
      </c>
    </row>
    <row r="209" spans="1:2" x14ac:dyDescent="0.35">
      <c r="A209" cm="1">
        <f t="array" ref="A209">IFERROR(INDEX('Row Level Master Sheet'!$K$2:$K$1001,_xlfn.AGGREGATE(15,6,(ROW('Row Level Master Sheet'!$K$2:$K$1001)-ROW('Row Level Master Sheet'!$K$2)+1)/('Row Level Master Sheet'!$C$2:$C$1001="Digital"),ROWS($A$2:A209))),"")</f>
        <v>0.31</v>
      </c>
      <c r="B209" s="39" cm="1">
        <f t="array" ref="B209">IFERROR(INDEX('Row Level Master Sheet'!$K$2:$K$1001,_xlfn.AGGREGATE(15,6,(ROW('Row Level Master Sheet'!$K$2:$K$1001)-ROW('Row Level Master Sheet'!$K$2)+1)/('Row Level Master Sheet'!$C$2:$C$1001="Traditional"),ROWS($B$2:B209))),"")</f>
        <v>0.86000000000000021</v>
      </c>
    </row>
    <row r="210" spans="1:2" x14ac:dyDescent="0.35">
      <c r="A210" cm="1">
        <f t="array" ref="A210">IFERROR(INDEX('Row Level Master Sheet'!$K$2:$K$1001,_xlfn.AGGREGATE(15,6,(ROW('Row Level Master Sheet'!$K$2:$K$1001)-ROW('Row Level Master Sheet'!$K$2)+1)/('Row Level Master Sheet'!$C$2:$C$1001="Digital"),ROWS($A$2:A210))),"")</f>
        <v>0.31</v>
      </c>
      <c r="B210" s="39" cm="1">
        <f t="array" ref="B210">IFERROR(INDEX('Row Level Master Sheet'!$K$2:$K$1001,_xlfn.AGGREGATE(15,6,(ROW('Row Level Master Sheet'!$K$2:$K$1001)-ROW('Row Level Master Sheet'!$K$2)+1)/('Row Level Master Sheet'!$C$2:$C$1001="Traditional"),ROWS($B$2:B210))),"")</f>
        <v>0.86999999999999977</v>
      </c>
    </row>
    <row r="211" spans="1:2" x14ac:dyDescent="0.35">
      <c r="A211" cm="1">
        <f t="array" ref="A211">IFERROR(INDEX('Row Level Master Sheet'!$K$2:$K$1001,_xlfn.AGGREGATE(15,6,(ROW('Row Level Master Sheet'!$K$2:$K$1001)-ROW('Row Level Master Sheet'!$K$2)+1)/('Row Level Master Sheet'!$C$2:$C$1001="Digital"),ROWS($A$2:A211))),"")</f>
        <v>0.31000000000000005</v>
      </c>
      <c r="B211" s="39" cm="1">
        <f t="array" ref="B211">IFERROR(INDEX('Row Level Master Sheet'!$K$2:$K$1001,_xlfn.AGGREGATE(15,6,(ROW('Row Level Master Sheet'!$K$2:$K$1001)-ROW('Row Level Master Sheet'!$K$2)+1)/('Row Level Master Sheet'!$C$2:$C$1001="Traditional"),ROWS($B$2:B211))),"")</f>
        <v>0.86999999999999988</v>
      </c>
    </row>
    <row r="212" spans="1:2" x14ac:dyDescent="0.35">
      <c r="A212" cm="1">
        <f t="array" ref="A212">IFERROR(INDEX('Row Level Master Sheet'!$K$2:$K$1001,_xlfn.AGGREGATE(15,6,(ROW('Row Level Master Sheet'!$K$2:$K$1001)-ROW('Row Level Master Sheet'!$K$2)+1)/('Row Level Master Sheet'!$C$2:$C$1001="Digital"),ROWS($A$2:A212))),"")</f>
        <v>0.31000000000000005</v>
      </c>
      <c r="B212" s="39" cm="1">
        <f t="array" ref="B212">IFERROR(INDEX('Row Level Master Sheet'!$K$2:$K$1001,_xlfn.AGGREGATE(15,6,(ROW('Row Level Master Sheet'!$K$2:$K$1001)-ROW('Row Level Master Sheet'!$K$2)+1)/('Row Level Master Sheet'!$C$2:$C$1001="Traditional"),ROWS($B$2:B212))),"")</f>
        <v>0.87</v>
      </c>
    </row>
    <row r="213" spans="1:2" x14ac:dyDescent="0.35">
      <c r="A213" cm="1">
        <f t="array" ref="A213">IFERROR(INDEX('Row Level Master Sheet'!$K$2:$K$1001,_xlfn.AGGREGATE(15,6,(ROW('Row Level Master Sheet'!$K$2:$K$1001)-ROW('Row Level Master Sheet'!$K$2)+1)/('Row Level Master Sheet'!$C$2:$C$1001="Digital"),ROWS($A$2:A213))),"")</f>
        <v>0.3199999999999999</v>
      </c>
      <c r="B213" s="39" cm="1">
        <f t="array" ref="B213">IFERROR(INDEX('Row Level Master Sheet'!$K$2:$K$1001,_xlfn.AGGREGATE(15,6,(ROW('Row Level Master Sheet'!$K$2:$K$1001)-ROW('Row Level Master Sheet'!$K$2)+1)/('Row Level Master Sheet'!$C$2:$C$1001="Traditional"),ROWS($B$2:B213))),"")</f>
        <v>0.87</v>
      </c>
    </row>
    <row r="214" spans="1:2" x14ac:dyDescent="0.35">
      <c r="A214" cm="1">
        <f t="array" ref="A214">IFERROR(INDEX('Row Level Master Sheet'!$K$2:$K$1001,_xlfn.AGGREGATE(15,6,(ROW('Row Level Master Sheet'!$K$2:$K$1001)-ROW('Row Level Master Sheet'!$K$2)+1)/('Row Level Master Sheet'!$C$2:$C$1001="Digital"),ROWS($A$2:A214))),"")</f>
        <v>0.31999999999999995</v>
      </c>
      <c r="B214" s="39" cm="1">
        <f t="array" ref="B214">IFERROR(INDEX('Row Level Master Sheet'!$K$2:$K$1001,_xlfn.AGGREGATE(15,6,(ROW('Row Level Master Sheet'!$K$2:$K$1001)-ROW('Row Level Master Sheet'!$K$2)+1)/('Row Level Master Sheet'!$C$2:$C$1001="Traditional"),ROWS($B$2:B214))),"")</f>
        <v>0.88</v>
      </c>
    </row>
    <row r="215" spans="1:2" x14ac:dyDescent="0.35">
      <c r="A215" cm="1">
        <f t="array" ref="A215">IFERROR(INDEX('Row Level Master Sheet'!$K$2:$K$1001,_xlfn.AGGREGATE(15,6,(ROW('Row Level Master Sheet'!$K$2:$K$1001)-ROW('Row Level Master Sheet'!$K$2)+1)/('Row Level Master Sheet'!$C$2:$C$1001="Digital"),ROWS($A$2:A215))),"")</f>
        <v>0.32000000000000012</v>
      </c>
      <c r="B215" s="39" cm="1">
        <f t="array" ref="B215">IFERROR(INDEX('Row Level Master Sheet'!$K$2:$K$1001,_xlfn.AGGREGATE(15,6,(ROW('Row Level Master Sheet'!$K$2:$K$1001)-ROW('Row Level Master Sheet'!$K$2)+1)/('Row Level Master Sheet'!$C$2:$C$1001="Traditional"),ROWS($B$2:B215))),"")</f>
        <v>0.88</v>
      </c>
    </row>
    <row r="216" spans="1:2" x14ac:dyDescent="0.35">
      <c r="A216" cm="1">
        <f t="array" ref="A216">IFERROR(INDEX('Row Level Master Sheet'!$K$2:$K$1001,_xlfn.AGGREGATE(15,6,(ROW('Row Level Master Sheet'!$K$2:$K$1001)-ROW('Row Level Master Sheet'!$K$2)+1)/('Row Level Master Sheet'!$C$2:$C$1001="Digital"),ROWS($A$2:A216))),"")</f>
        <v>0.3299999999999999</v>
      </c>
      <c r="B216" s="39" cm="1">
        <f t="array" ref="B216">IFERROR(INDEX('Row Level Master Sheet'!$K$2:$K$1001,_xlfn.AGGREGATE(15,6,(ROW('Row Level Master Sheet'!$K$2:$K$1001)-ROW('Row Level Master Sheet'!$K$2)+1)/('Row Level Master Sheet'!$C$2:$C$1001="Traditional"),ROWS($B$2:B216))),"")</f>
        <v>0.89</v>
      </c>
    </row>
    <row r="217" spans="1:2" x14ac:dyDescent="0.35">
      <c r="A217" cm="1">
        <f t="array" ref="A217">IFERROR(INDEX('Row Level Master Sheet'!$K$2:$K$1001,_xlfn.AGGREGATE(15,6,(ROW('Row Level Master Sheet'!$K$2:$K$1001)-ROW('Row Level Master Sheet'!$K$2)+1)/('Row Level Master Sheet'!$C$2:$C$1001="Digital"),ROWS($A$2:A217))),"")</f>
        <v>0.32999999999999996</v>
      </c>
      <c r="B217" s="39" cm="1">
        <f t="array" ref="B217">IFERROR(INDEX('Row Level Master Sheet'!$K$2:$K$1001,_xlfn.AGGREGATE(15,6,(ROW('Row Level Master Sheet'!$K$2:$K$1001)-ROW('Row Level Master Sheet'!$K$2)+1)/('Row Level Master Sheet'!$C$2:$C$1001="Traditional"),ROWS($B$2:B217))),"")</f>
        <v>0.91000000000000014</v>
      </c>
    </row>
    <row r="218" spans="1:2" x14ac:dyDescent="0.35">
      <c r="A218" cm="1">
        <f t="array" ref="A218">IFERROR(INDEX('Row Level Master Sheet'!$K$2:$K$1001,_xlfn.AGGREGATE(15,6,(ROW('Row Level Master Sheet'!$K$2:$K$1001)-ROW('Row Level Master Sheet'!$K$2)+1)/('Row Level Master Sheet'!$C$2:$C$1001="Digital"),ROWS($A$2:A218))),"")</f>
        <v>0.33</v>
      </c>
      <c r="B218" s="39" cm="1">
        <f t="array" ref="B218">IFERROR(INDEX('Row Level Master Sheet'!$K$2:$K$1001,_xlfn.AGGREGATE(15,6,(ROW('Row Level Master Sheet'!$K$2:$K$1001)-ROW('Row Level Master Sheet'!$K$2)+1)/('Row Level Master Sheet'!$C$2:$C$1001="Traditional"),ROWS($B$2:B218))),"")</f>
        <v>0.91999999999999993</v>
      </c>
    </row>
    <row r="219" spans="1:2" x14ac:dyDescent="0.35">
      <c r="A219" cm="1">
        <f t="array" ref="A219">IFERROR(INDEX('Row Level Master Sheet'!$K$2:$K$1001,_xlfn.AGGREGATE(15,6,(ROW('Row Level Master Sheet'!$K$2:$K$1001)-ROW('Row Level Master Sheet'!$K$2)+1)/('Row Level Master Sheet'!$C$2:$C$1001="Digital"),ROWS($A$2:A219))),"")</f>
        <v>0.33</v>
      </c>
      <c r="B219" s="39" cm="1">
        <f t="array" ref="B219">IFERROR(INDEX('Row Level Master Sheet'!$K$2:$K$1001,_xlfn.AGGREGATE(15,6,(ROW('Row Level Master Sheet'!$K$2:$K$1001)-ROW('Row Level Master Sheet'!$K$2)+1)/('Row Level Master Sheet'!$C$2:$C$1001="Traditional"),ROWS($B$2:B219))),"")</f>
        <v>0.92999999999999983</v>
      </c>
    </row>
    <row r="220" spans="1:2" x14ac:dyDescent="0.35">
      <c r="A220" cm="1">
        <f t="array" ref="A220">IFERROR(INDEX('Row Level Master Sheet'!$K$2:$K$1001,_xlfn.AGGREGATE(15,6,(ROW('Row Level Master Sheet'!$K$2:$K$1001)-ROW('Row Level Master Sheet'!$K$2)+1)/('Row Level Master Sheet'!$C$2:$C$1001="Digital"),ROWS($A$2:A220))),"")</f>
        <v>0.33</v>
      </c>
      <c r="B220" s="39" cm="1">
        <f t="array" ref="B220">IFERROR(INDEX('Row Level Master Sheet'!$K$2:$K$1001,_xlfn.AGGREGATE(15,6,(ROW('Row Level Master Sheet'!$K$2:$K$1001)-ROW('Row Level Master Sheet'!$K$2)+1)/('Row Level Master Sheet'!$C$2:$C$1001="Traditional"),ROWS($B$2:B220))),"")</f>
        <v>0.93999999999999972</v>
      </c>
    </row>
    <row r="221" spans="1:2" x14ac:dyDescent="0.35">
      <c r="A221" cm="1">
        <f t="array" ref="A221">IFERROR(INDEX('Row Level Master Sheet'!$K$2:$K$1001,_xlfn.AGGREGATE(15,6,(ROW('Row Level Master Sheet'!$K$2:$K$1001)-ROW('Row Level Master Sheet'!$K$2)+1)/('Row Level Master Sheet'!$C$2:$C$1001="Digital"),ROWS($A$2:A221))),"")</f>
        <v>0.33</v>
      </c>
      <c r="B221" s="39" cm="1">
        <f t="array" ref="B221">IFERROR(INDEX('Row Level Master Sheet'!$K$2:$K$1001,_xlfn.AGGREGATE(15,6,(ROW('Row Level Master Sheet'!$K$2:$K$1001)-ROW('Row Level Master Sheet'!$K$2)+1)/('Row Level Master Sheet'!$C$2:$C$1001="Traditional"),ROWS($B$2:B221))),"")</f>
        <v>0.93999999999999984</v>
      </c>
    </row>
    <row r="222" spans="1:2" x14ac:dyDescent="0.35">
      <c r="A222" cm="1">
        <f t="array" ref="A222">IFERROR(INDEX('Row Level Master Sheet'!$K$2:$K$1001,_xlfn.AGGREGATE(15,6,(ROW('Row Level Master Sheet'!$K$2:$K$1001)-ROW('Row Level Master Sheet'!$K$2)+1)/('Row Level Master Sheet'!$C$2:$C$1001="Digital"),ROWS($A$2:A222))),"")</f>
        <v>0.33000000000000018</v>
      </c>
      <c r="B222" s="39" cm="1">
        <f t="array" ref="B222">IFERROR(INDEX('Row Level Master Sheet'!$K$2:$K$1001,_xlfn.AGGREGATE(15,6,(ROW('Row Level Master Sheet'!$K$2:$K$1001)-ROW('Row Level Master Sheet'!$K$2)+1)/('Row Level Master Sheet'!$C$2:$C$1001="Traditional"),ROWS($B$2:B222))),"")</f>
        <v>0.95999999999999985</v>
      </c>
    </row>
    <row r="223" spans="1:2" x14ac:dyDescent="0.35">
      <c r="A223" cm="1">
        <f t="array" ref="A223">IFERROR(INDEX('Row Level Master Sheet'!$K$2:$K$1001,_xlfn.AGGREGATE(15,6,(ROW('Row Level Master Sheet'!$K$2:$K$1001)-ROW('Row Level Master Sheet'!$K$2)+1)/('Row Level Master Sheet'!$C$2:$C$1001="Digital"),ROWS($A$2:A223))),"")</f>
        <v>0.33000000000000018</v>
      </c>
      <c r="B223" s="39" cm="1">
        <f t="array" ref="B223">IFERROR(INDEX('Row Level Master Sheet'!$K$2:$K$1001,_xlfn.AGGREGATE(15,6,(ROW('Row Level Master Sheet'!$K$2:$K$1001)-ROW('Row Level Master Sheet'!$K$2)+1)/('Row Level Master Sheet'!$C$2:$C$1001="Traditional"),ROWS($B$2:B223))),"")</f>
        <v>0.96</v>
      </c>
    </row>
    <row r="224" spans="1:2" x14ac:dyDescent="0.35">
      <c r="A224" cm="1">
        <f t="array" ref="A224">IFERROR(INDEX('Row Level Master Sheet'!$K$2:$K$1001,_xlfn.AGGREGATE(15,6,(ROW('Row Level Master Sheet'!$K$2:$K$1001)-ROW('Row Level Master Sheet'!$K$2)+1)/('Row Level Master Sheet'!$C$2:$C$1001="Digital"),ROWS($A$2:A224))),"")</f>
        <v>0.34</v>
      </c>
      <c r="B224" s="39" cm="1">
        <f t="array" ref="B224">IFERROR(INDEX('Row Level Master Sheet'!$K$2:$K$1001,_xlfn.AGGREGATE(15,6,(ROW('Row Level Master Sheet'!$K$2:$K$1001)-ROW('Row Level Master Sheet'!$K$2)+1)/('Row Level Master Sheet'!$C$2:$C$1001="Traditional"),ROWS($B$2:B224))),"")</f>
        <v>0.97000000000000008</v>
      </c>
    </row>
    <row r="225" spans="1:2" x14ac:dyDescent="0.35">
      <c r="A225" cm="1">
        <f t="array" ref="A225">IFERROR(INDEX('Row Level Master Sheet'!$K$2:$K$1001,_xlfn.AGGREGATE(15,6,(ROW('Row Level Master Sheet'!$K$2:$K$1001)-ROW('Row Level Master Sheet'!$K$2)+1)/('Row Level Master Sheet'!$C$2:$C$1001="Digital"),ROWS($A$2:A225))),"")</f>
        <v>0.34999999999999987</v>
      </c>
      <c r="B225" s="39" cm="1">
        <f t="array" ref="B225">IFERROR(INDEX('Row Level Master Sheet'!$K$2:$K$1001,_xlfn.AGGREGATE(15,6,(ROW('Row Level Master Sheet'!$K$2:$K$1001)-ROW('Row Level Master Sheet'!$K$2)+1)/('Row Level Master Sheet'!$C$2:$C$1001="Traditional"),ROWS($B$2:B225))),"")</f>
        <v>0.97999999999999976</v>
      </c>
    </row>
    <row r="226" spans="1:2" x14ac:dyDescent="0.35">
      <c r="A226" cm="1">
        <f t="array" ref="A226">IFERROR(INDEX('Row Level Master Sheet'!$K$2:$K$1001,_xlfn.AGGREGATE(15,6,(ROW('Row Level Master Sheet'!$K$2:$K$1001)-ROW('Row Level Master Sheet'!$K$2)+1)/('Row Level Master Sheet'!$C$2:$C$1001="Digital"),ROWS($A$2:A226))),"")</f>
        <v>0.35</v>
      </c>
      <c r="B226" s="39" cm="1">
        <f t="array" ref="B226">IFERROR(INDEX('Row Level Master Sheet'!$K$2:$K$1001,_xlfn.AGGREGATE(15,6,(ROW('Row Level Master Sheet'!$K$2:$K$1001)-ROW('Row Level Master Sheet'!$K$2)+1)/('Row Level Master Sheet'!$C$2:$C$1001="Traditional"),ROWS($B$2:B226))),"")</f>
        <v>0.98000000000000009</v>
      </c>
    </row>
    <row r="227" spans="1:2" x14ac:dyDescent="0.35">
      <c r="A227" cm="1">
        <f t="array" ref="A227">IFERROR(INDEX('Row Level Master Sheet'!$K$2:$K$1001,_xlfn.AGGREGATE(15,6,(ROW('Row Level Master Sheet'!$K$2:$K$1001)-ROW('Row Level Master Sheet'!$K$2)+1)/('Row Level Master Sheet'!$C$2:$C$1001="Digital"),ROWS($A$2:A227))),"")</f>
        <v>0.35</v>
      </c>
      <c r="B227" s="39" cm="1">
        <f t="array" ref="B227">IFERROR(INDEX('Row Level Master Sheet'!$K$2:$K$1001,_xlfn.AGGREGATE(15,6,(ROW('Row Level Master Sheet'!$K$2:$K$1001)-ROW('Row Level Master Sheet'!$K$2)+1)/('Row Level Master Sheet'!$C$2:$C$1001="Traditional"),ROWS($B$2:B227))),"")</f>
        <v>0.98999999999999977</v>
      </c>
    </row>
    <row r="228" spans="1:2" x14ac:dyDescent="0.35">
      <c r="A228" cm="1">
        <f t="array" ref="A228">IFERROR(INDEX('Row Level Master Sheet'!$K$2:$K$1001,_xlfn.AGGREGATE(15,6,(ROW('Row Level Master Sheet'!$K$2:$K$1001)-ROW('Row Level Master Sheet'!$K$2)+1)/('Row Level Master Sheet'!$C$2:$C$1001="Digital"),ROWS($A$2:A228))),"")</f>
        <v>0.35</v>
      </c>
      <c r="B228" s="39" cm="1">
        <f t="array" ref="B228">IFERROR(INDEX('Row Level Master Sheet'!$K$2:$K$1001,_xlfn.AGGREGATE(15,6,(ROW('Row Level Master Sheet'!$K$2:$K$1001)-ROW('Row Level Master Sheet'!$K$2)+1)/('Row Level Master Sheet'!$C$2:$C$1001="Traditional"),ROWS($B$2:B228))),"")</f>
        <v>0.99</v>
      </c>
    </row>
    <row r="229" spans="1:2" x14ac:dyDescent="0.35">
      <c r="A229" cm="1">
        <f t="array" ref="A229">IFERROR(INDEX('Row Level Master Sheet'!$K$2:$K$1001,_xlfn.AGGREGATE(15,6,(ROW('Row Level Master Sheet'!$K$2:$K$1001)-ROW('Row Level Master Sheet'!$K$2)+1)/('Row Level Master Sheet'!$C$2:$C$1001="Digital"),ROWS($A$2:A229))),"")</f>
        <v>0.35000000000000009</v>
      </c>
      <c r="B229" s="39" cm="1">
        <f t="array" ref="B229">IFERROR(INDEX('Row Level Master Sheet'!$K$2:$K$1001,_xlfn.AGGREGATE(15,6,(ROW('Row Level Master Sheet'!$K$2:$K$1001)-ROW('Row Level Master Sheet'!$K$2)+1)/('Row Level Master Sheet'!$C$2:$C$1001="Traditional"),ROWS($B$2:B229))),"")</f>
        <v>1</v>
      </c>
    </row>
    <row r="230" spans="1:2" x14ac:dyDescent="0.35">
      <c r="A230" cm="1">
        <f t="array" ref="A230">IFERROR(INDEX('Row Level Master Sheet'!$K$2:$K$1001,_xlfn.AGGREGATE(15,6,(ROW('Row Level Master Sheet'!$K$2:$K$1001)-ROW('Row Level Master Sheet'!$K$2)+1)/('Row Level Master Sheet'!$C$2:$C$1001="Digital"),ROWS($A$2:A230))),"")</f>
        <v>0.36000000000000004</v>
      </c>
      <c r="B230" s="39" cm="1">
        <f t="array" ref="B230">IFERROR(INDEX('Row Level Master Sheet'!$K$2:$K$1001,_xlfn.AGGREGATE(15,6,(ROW('Row Level Master Sheet'!$K$2:$K$1001)-ROW('Row Level Master Sheet'!$K$2)+1)/('Row Level Master Sheet'!$C$2:$C$1001="Traditional"),ROWS($B$2:B230))),"")</f>
        <v>1</v>
      </c>
    </row>
    <row r="231" spans="1:2" x14ac:dyDescent="0.35">
      <c r="A231" cm="1">
        <f t="array" ref="A231">IFERROR(INDEX('Row Level Master Sheet'!$K$2:$K$1001,_xlfn.AGGREGATE(15,6,(ROW('Row Level Master Sheet'!$K$2:$K$1001)-ROW('Row Level Master Sheet'!$K$2)+1)/('Row Level Master Sheet'!$C$2:$C$1001="Digital"),ROWS($A$2:A231))),"")</f>
        <v>0.36999999999999988</v>
      </c>
      <c r="B231" s="39" cm="1">
        <f t="array" ref="B231">IFERROR(INDEX('Row Level Master Sheet'!$K$2:$K$1001,_xlfn.AGGREGATE(15,6,(ROW('Row Level Master Sheet'!$K$2:$K$1001)-ROW('Row Level Master Sheet'!$K$2)+1)/('Row Level Master Sheet'!$C$2:$C$1001="Traditional"),ROWS($B$2:B231))),"")</f>
        <v>1.0099999999999998</v>
      </c>
    </row>
    <row r="232" spans="1:2" x14ac:dyDescent="0.35">
      <c r="A232" cm="1">
        <f t="array" ref="A232">IFERROR(INDEX('Row Level Master Sheet'!$K$2:$K$1001,_xlfn.AGGREGATE(15,6,(ROW('Row Level Master Sheet'!$K$2:$K$1001)-ROW('Row Level Master Sheet'!$K$2)+1)/('Row Level Master Sheet'!$C$2:$C$1001="Digital"),ROWS($A$2:A232))),"")</f>
        <v>0.36999999999999994</v>
      </c>
      <c r="B232" s="39" cm="1">
        <f t="array" ref="B232">IFERROR(INDEX('Row Level Master Sheet'!$K$2:$K$1001,_xlfn.AGGREGATE(15,6,(ROW('Row Level Master Sheet'!$K$2:$K$1001)-ROW('Row Level Master Sheet'!$K$2)+1)/('Row Level Master Sheet'!$C$2:$C$1001="Traditional"),ROWS($B$2:B232))),"")</f>
        <v>1.01</v>
      </c>
    </row>
    <row r="233" spans="1:2" x14ac:dyDescent="0.35">
      <c r="A233" cm="1">
        <f t="array" ref="A233">IFERROR(INDEX('Row Level Master Sheet'!$K$2:$K$1001,_xlfn.AGGREGATE(15,6,(ROW('Row Level Master Sheet'!$K$2:$K$1001)-ROW('Row Level Master Sheet'!$K$2)+1)/('Row Level Master Sheet'!$C$2:$C$1001="Digital"),ROWS($A$2:A233))),"")</f>
        <v>0.36999999999999994</v>
      </c>
      <c r="B233" s="39" cm="1">
        <f t="array" ref="B233">IFERROR(INDEX('Row Level Master Sheet'!$K$2:$K$1001,_xlfn.AGGREGATE(15,6,(ROW('Row Level Master Sheet'!$K$2:$K$1001)-ROW('Row Level Master Sheet'!$K$2)+1)/('Row Level Master Sheet'!$C$2:$C$1001="Traditional"),ROWS($B$2:B233))),"")</f>
        <v>1.0199999999999998</v>
      </c>
    </row>
    <row r="234" spans="1:2" x14ac:dyDescent="0.35">
      <c r="A234" cm="1">
        <f t="array" ref="A234">IFERROR(INDEX('Row Level Master Sheet'!$K$2:$K$1001,_xlfn.AGGREGATE(15,6,(ROW('Row Level Master Sheet'!$K$2:$K$1001)-ROW('Row Level Master Sheet'!$K$2)+1)/('Row Level Master Sheet'!$C$2:$C$1001="Digital"),ROWS($A$2:A234))),"")</f>
        <v>0.37</v>
      </c>
      <c r="B234" s="39" cm="1">
        <f t="array" ref="B234">IFERROR(INDEX('Row Level Master Sheet'!$K$2:$K$1001,_xlfn.AGGREGATE(15,6,(ROW('Row Level Master Sheet'!$K$2:$K$1001)-ROW('Row Level Master Sheet'!$K$2)+1)/('Row Level Master Sheet'!$C$2:$C$1001="Traditional"),ROWS($B$2:B234))),"")</f>
        <v>1.0199999999999998</v>
      </c>
    </row>
    <row r="235" spans="1:2" x14ac:dyDescent="0.35">
      <c r="A235" cm="1">
        <f t="array" ref="A235">IFERROR(INDEX('Row Level Master Sheet'!$K$2:$K$1001,_xlfn.AGGREGATE(15,6,(ROW('Row Level Master Sheet'!$K$2:$K$1001)-ROW('Row Level Master Sheet'!$K$2)+1)/('Row Level Master Sheet'!$C$2:$C$1001="Digital"),ROWS($A$2:A235))),"")</f>
        <v>0.37000000000000011</v>
      </c>
      <c r="B235" s="39" cm="1">
        <f t="array" ref="B235">IFERROR(INDEX('Row Level Master Sheet'!$K$2:$K$1001,_xlfn.AGGREGATE(15,6,(ROW('Row Level Master Sheet'!$K$2:$K$1001)-ROW('Row Level Master Sheet'!$K$2)+1)/('Row Level Master Sheet'!$C$2:$C$1001="Traditional"),ROWS($B$2:B235))),"")</f>
        <v>1.02</v>
      </c>
    </row>
    <row r="236" spans="1:2" x14ac:dyDescent="0.35">
      <c r="A236" cm="1">
        <f t="array" ref="A236">IFERROR(INDEX('Row Level Master Sheet'!$K$2:$K$1001,_xlfn.AGGREGATE(15,6,(ROW('Row Level Master Sheet'!$K$2:$K$1001)-ROW('Row Level Master Sheet'!$K$2)+1)/('Row Level Master Sheet'!$C$2:$C$1001="Digital"),ROWS($A$2:A236))),"")</f>
        <v>0.37000000000000016</v>
      </c>
      <c r="B236" s="39" cm="1">
        <f t="array" ref="B236">IFERROR(INDEX('Row Level Master Sheet'!$K$2:$K$1001,_xlfn.AGGREGATE(15,6,(ROW('Row Level Master Sheet'!$K$2:$K$1001)-ROW('Row Level Master Sheet'!$K$2)+1)/('Row Level Master Sheet'!$C$2:$C$1001="Traditional"),ROWS($B$2:B236))),"")</f>
        <v>1.02</v>
      </c>
    </row>
    <row r="237" spans="1:2" x14ac:dyDescent="0.35">
      <c r="A237" cm="1">
        <f t="array" ref="A237">IFERROR(INDEX('Row Level Master Sheet'!$K$2:$K$1001,_xlfn.AGGREGATE(15,6,(ROW('Row Level Master Sheet'!$K$2:$K$1001)-ROW('Row Level Master Sheet'!$K$2)+1)/('Row Level Master Sheet'!$C$2:$C$1001="Digital"),ROWS($A$2:A237))),"")</f>
        <v>0.37999999999999989</v>
      </c>
      <c r="B237" s="39" cm="1">
        <f t="array" ref="B237">IFERROR(INDEX('Row Level Master Sheet'!$K$2:$K$1001,_xlfn.AGGREGATE(15,6,(ROW('Row Level Master Sheet'!$K$2:$K$1001)-ROW('Row Level Master Sheet'!$K$2)+1)/('Row Level Master Sheet'!$C$2:$C$1001="Traditional"),ROWS($B$2:B237))),"")</f>
        <v>1.0299999999999998</v>
      </c>
    </row>
    <row r="238" spans="1:2" x14ac:dyDescent="0.35">
      <c r="A238" cm="1">
        <f t="array" ref="A238">IFERROR(INDEX('Row Level Master Sheet'!$K$2:$K$1001,_xlfn.AGGREGATE(15,6,(ROW('Row Level Master Sheet'!$K$2:$K$1001)-ROW('Row Level Master Sheet'!$K$2)+1)/('Row Level Master Sheet'!$C$2:$C$1001="Digital"),ROWS($A$2:A238))),"")</f>
        <v>0.38</v>
      </c>
      <c r="B238" s="39" cm="1">
        <f t="array" ref="B238">IFERROR(INDEX('Row Level Master Sheet'!$K$2:$K$1001,_xlfn.AGGREGATE(15,6,(ROW('Row Level Master Sheet'!$K$2:$K$1001)-ROW('Row Level Master Sheet'!$K$2)+1)/('Row Level Master Sheet'!$C$2:$C$1001="Traditional"),ROWS($B$2:B238))),"")</f>
        <v>1.0299999999999998</v>
      </c>
    </row>
    <row r="239" spans="1:2" x14ac:dyDescent="0.35">
      <c r="A239" cm="1">
        <f t="array" ref="A239">IFERROR(INDEX('Row Level Master Sheet'!$K$2:$K$1001,_xlfn.AGGREGATE(15,6,(ROW('Row Level Master Sheet'!$K$2:$K$1001)-ROW('Row Level Master Sheet'!$K$2)+1)/('Row Level Master Sheet'!$C$2:$C$1001="Digital"),ROWS($A$2:A239))),"")</f>
        <v>0.38000000000000006</v>
      </c>
      <c r="B239" s="39" cm="1">
        <f t="array" ref="B239">IFERROR(INDEX('Row Level Master Sheet'!$K$2:$K$1001,_xlfn.AGGREGATE(15,6,(ROW('Row Level Master Sheet'!$K$2:$K$1001)-ROW('Row Level Master Sheet'!$K$2)+1)/('Row Level Master Sheet'!$C$2:$C$1001="Traditional"),ROWS($B$2:B239))),"")</f>
        <v>1.03</v>
      </c>
    </row>
    <row r="240" spans="1:2" x14ac:dyDescent="0.35">
      <c r="A240" cm="1">
        <f t="array" ref="A240">IFERROR(INDEX('Row Level Master Sheet'!$K$2:$K$1001,_xlfn.AGGREGATE(15,6,(ROW('Row Level Master Sheet'!$K$2:$K$1001)-ROW('Row Level Master Sheet'!$K$2)+1)/('Row Level Master Sheet'!$C$2:$C$1001="Digital"),ROWS($A$2:A240))),"")</f>
        <v>0.38000000000000012</v>
      </c>
      <c r="B240" s="39" cm="1">
        <f t="array" ref="B240">IFERROR(INDEX('Row Level Master Sheet'!$K$2:$K$1001,_xlfn.AGGREGATE(15,6,(ROW('Row Level Master Sheet'!$K$2:$K$1001)-ROW('Row Level Master Sheet'!$K$2)+1)/('Row Level Master Sheet'!$C$2:$C$1001="Traditional"),ROWS($B$2:B240))),"")</f>
        <v>1.03</v>
      </c>
    </row>
    <row r="241" spans="1:2" x14ac:dyDescent="0.35">
      <c r="A241" cm="1">
        <f t="array" ref="A241">IFERROR(INDEX('Row Level Master Sheet'!$K$2:$K$1001,_xlfn.AGGREGATE(15,6,(ROW('Row Level Master Sheet'!$K$2:$K$1001)-ROW('Row Level Master Sheet'!$K$2)+1)/('Row Level Master Sheet'!$C$2:$C$1001="Digital"),ROWS($A$2:A241))),"")</f>
        <v>0.38000000000000017</v>
      </c>
      <c r="B241" s="39" cm="1">
        <f t="array" ref="B241">IFERROR(INDEX('Row Level Master Sheet'!$K$2:$K$1001,_xlfn.AGGREGATE(15,6,(ROW('Row Level Master Sheet'!$K$2:$K$1001)-ROW('Row Level Master Sheet'!$K$2)+1)/('Row Level Master Sheet'!$C$2:$C$1001="Traditional"),ROWS($B$2:B241))),"")</f>
        <v>1.0399999999999998</v>
      </c>
    </row>
    <row r="242" spans="1:2" x14ac:dyDescent="0.35">
      <c r="A242" cm="1">
        <f t="array" ref="A242">IFERROR(INDEX('Row Level Master Sheet'!$K$2:$K$1001,_xlfn.AGGREGATE(15,6,(ROW('Row Level Master Sheet'!$K$2:$K$1001)-ROW('Row Level Master Sheet'!$K$2)+1)/('Row Level Master Sheet'!$C$2:$C$1001="Digital"),ROWS($A$2:A242))),"")</f>
        <v>0.38999999999999985</v>
      </c>
      <c r="B242" s="39" cm="1">
        <f t="array" ref="B242">IFERROR(INDEX('Row Level Master Sheet'!$K$2:$K$1001,_xlfn.AGGREGATE(15,6,(ROW('Row Level Master Sheet'!$K$2:$K$1001)-ROW('Row Level Master Sheet'!$K$2)+1)/('Row Level Master Sheet'!$C$2:$C$1001="Traditional"),ROWS($B$2:B242))),"")</f>
        <v>1.04</v>
      </c>
    </row>
    <row r="243" spans="1:2" x14ac:dyDescent="0.35">
      <c r="A243" cm="1">
        <f t="array" ref="A243">IFERROR(INDEX('Row Level Master Sheet'!$K$2:$K$1001,_xlfn.AGGREGATE(15,6,(ROW('Row Level Master Sheet'!$K$2:$K$1001)-ROW('Row Level Master Sheet'!$K$2)+1)/('Row Level Master Sheet'!$C$2:$C$1001="Digital"),ROWS($A$2:A243))),"")</f>
        <v>0.38999999999999985</v>
      </c>
      <c r="B243" s="39" cm="1">
        <f t="array" ref="B243">IFERROR(INDEX('Row Level Master Sheet'!$K$2:$K$1001,_xlfn.AGGREGATE(15,6,(ROW('Row Level Master Sheet'!$K$2:$K$1001)-ROW('Row Level Master Sheet'!$K$2)+1)/('Row Level Master Sheet'!$C$2:$C$1001="Traditional"),ROWS($B$2:B243))),"")</f>
        <v>1.05</v>
      </c>
    </row>
    <row r="244" spans="1:2" x14ac:dyDescent="0.35">
      <c r="A244" cm="1">
        <f t="array" ref="A244">IFERROR(INDEX('Row Level Master Sheet'!$K$2:$K$1001,_xlfn.AGGREGATE(15,6,(ROW('Row Level Master Sheet'!$K$2:$K$1001)-ROW('Row Level Master Sheet'!$K$2)+1)/('Row Level Master Sheet'!$C$2:$C$1001="Digital"),ROWS($A$2:A244))),"")</f>
        <v>0.39</v>
      </c>
      <c r="B244" s="39" cm="1">
        <f t="array" ref="B244">IFERROR(INDEX('Row Level Master Sheet'!$K$2:$K$1001,_xlfn.AGGREGATE(15,6,(ROW('Row Level Master Sheet'!$K$2:$K$1001)-ROW('Row Level Master Sheet'!$K$2)+1)/('Row Level Master Sheet'!$C$2:$C$1001="Traditional"),ROWS($B$2:B244))),"")</f>
        <v>1.0599999999999998</v>
      </c>
    </row>
    <row r="245" spans="1:2" x14ac:dyDescent="0.35">
      <c r="A245" cm="1">
        <f t="array" ref="A245">IFERROR(INDEX('Row Level Master Sheet'!$K$2:$K$1001,_xlfn.AGGREGATE(15,6,(ROW('Row Level Master Sheet'!$K$2:$K$1001)-ROW('Row Level Master Sheet'!$K$2)+1)/('Row Level Master Sheet'!$C$2:$C$1001="Digital"),ROWS($A$2:A245))),"")</f>
        <v>0.39</v>
      </c>
      <c r="B245" s="39" cm="1">
        <f t="array" ref="B245">IFERROR(INDEX('Row Level Master Sheet'!$K$2:$K$1001,_xlfn.AGGREGATE(15,6,(ROW('Row Level Master Sheet'!$K$2:$K$1001)-ROW('Row Level Master Sheet'!$K$2)+1)/('Row Level Master Sheet'!$C$2:$C$1001="Traditional"),ROWS($B$2:B245))),"")</f>
        <v>1.06</v>
      </c>
    </row>
    <row r="246" spans="1:2" x14ac:dyDescent="0.35">
      <c r="A246" cm="1">
        <f t="array" ref="A246">IFERROR(INDEX('Row Level Master Sheet'!$K$2:$K$1001,_xlfn.AGGREGATE(15,6,(ROW('Row Level Master Sheet'!$K$2:$K$1001)-ROW('Row Level Master Sheet'!$K$2)+1)/('Row Level Master Sheet'!$C$2:$C$1001="Digital"),ROWS($A$2:A246))),"")</f>
        <v>0.39999999999999991</v>
      </c>
      <c r="B246" s="39" cm="1">
        <f t="array" ref="B246">IFERROR(INDEX('Row Level Master Sheet'!$K$2:$K$1001,_xlfn.AGGREGATE(15,6,(ROW('Row Level Master Sheet'!$K$2:$K$1001)-ROW('Row Level Master Sheet'!$K$2)+1)/('Row Level Master Sheet'!$C$2:$C$1001="Traditional"),ROWS($B$2:B246))),"")</f>
        <v>1.06</v>
      </c>
    </row>
    <row r="247" spans="1:2" x14ac:dyDescent="0.35">
      <c r="A247" cm="1">
        <f t="array" ref="A247">IFERROR(INDEX('Row Level Master Sheet'!$K$2:$K$1001,_xlfn.AGGREGATE(15,6,(ROW('Row Level Master Sheet'!$K$2:$K$1001)-ROW('Row Level Master Sheet'!$K$2)+1)/('Row Level Master Sheet'!$C$2:$C$1001="Digital"),ROWS($A$2:A247))),"")</f>
        <v>0.39999999999999997</v>
      </c>
      <c r="B247" s="39" cm="1">
        <f t="array" ref="B247">IFERROR(INDEX('Row Level Master Sheet'!$K$2:$K$1001,_xlfn.AGGREGATE(15,6,(ROW('Row Level Master Sheet'!$K$2:$K$1001)-ROW('Row Level Master Sheet'!$K$2)+1)/('Row Level Master Sheet'!$C$2:$C$1001="Traditional"),ROWS($B$2:B247))),"")</f>
        <v>1.0699999999999998</v>
      </c>
    </row>
    <row r="248" spans="1:2" x14ac:dyDescent="0.35">
      <c r="A248" cm="1">
        <f t="array" ref="A248">IFERROR(INDEX('Row Level Master Sheet'!$K$2:$K$1001,_xlfn.AGGREGATE(15,6,(ROW('Row Level Master Sheet'!$K$2:$K$1001)-ROW('Row Level Master Sheet'!$K$2)+1)/('Row Level Master Sheet'!$C$2:$C$1001="Digital"),ROWS($A$2:A248))),"")</f>
        <v>0.4</v>
      </c>
      <c r="B248" s="39" cm="1">
        <f t="array" ref="B248">IFERROR(INDEX('Row Level Master Sheet'!$K$2:$K$1001,_xlfn.AGGREGATE(15,6,(ROW('Row Level Master Sheet'!$K$2:$K$1001)-ROW('Row Level Master Sheet'!$K$2)+1)/('Row Level Master Sheet'!$C$2:$C$1001="Traditional"),ROWS($B$2:B248))),"")</f>
        <v>1.07</v>
      </c>
    </row>
    <row r="249" spans="1:2" x14ac:dyDescent="0.35">
      <c r="A249" cm="1">
        <f t="array" ref="A249">IFERROR(INDEX('Row Level Master Sheet'!$K$2:$K$1001,_xlfn.AGGREGATE(15,6,(ROW('Row Level Master Sheet'!$K$2:$K$1001)-ROW('Row Level Master Sheet'!$K$2)+1)/('Row Level Master Sheet'!$C$2:$C$1001="Digital"),ROWS($A$2:A249))),"")</f>
        <v>0.40999999999999975</v>
      </c>
      <c r="B249" s="39" cm="1">
        <f t="array" ref="B249">IFERROR(INDEX('Row Level Master Sheet'!$K$2:$K$1001,_xlfn.AGGREGATE(15,6,(ROW('Row Level Master Sheet'!$K$2:$K$1001)-ROW('Row Level Master Sheet'!$K$2)+1)/('Row Level Master Sheet'!$C$2:$C$1001="Traditional"),ROWS($B$2:B249))),"")</f>
        <v>1.07</v>
      </c>
    </row>
    <row r="250" spans="1:2" x14ac:dyDescent="0.35">
      <c r="A250" cm="1">
        <f t="array" ref="A250">IFERROR(INDEX('Row Level Master Sheet'!$K$2:$K$1001,_xlfn.AGGREGATE(15,6,(ROW('Row Level Master Sheet'!$K$2:$K$1001)-ROW('Row Level Master Sheet'!$K$2)+1)/('Row Level Master Sheet'!$C$2:$C$1001="Digital"),ROWS($A$2:A250))),"")</f>
        <v>0.40999999999999992</v>
      </c>
      <c r="B250" s="39" cm="1">
        <f t="array" ref="B250">IFERROR(INDEX('Row Level Master Sheet'!$K$2:$K$1001,_xlfn.AGGREGATE(15,6,(ROW('Row Level Master Sheet'!$K$2:$K$1001)-ROW('Row Level Master Sheet'!$K$2)+1)/('Row Level Master Sheet'!$C$2:$C$1001="Traditional"),ROWS($B$2:B250))),"")</f>
        <v>1.07</v>
      </c>
    </row>
    <row r="251" spans="1:2" x14ac:dyDescent="0.35">
      <c r="A251" cm="1">
        <f t="array" ref="A251">IFERROR(INDEX('Row Level Master Sheet'!$K$2:$K$1001,_xlfn.AGGREGATE(15,6,(ROW('Row Level Master Sheet'!$K$2:$K$1001)-ROW('Row Level Master Sheet'!$K$2)+1)/('Row Level Master Sheet'!$C$2:$C$1001="Digital"),ROWS($A$2:A251))),"")</f>
        <v>0.40999999999999992</v>
      </c>
      <c r="B251" s="39" cm="1">
        <f t="array" ref="B251">IFERROR(INDEX('Row Level Master Sheet'!$K$2:$K$1001,_xlfn.AGGREGATE(15,6,(ROW('Row Level Master Sheet'!$K$2:$K$1001)-ROW('Row Level Master Sheet'!$K$2)+1)/('Row Level Master Sheet'!$C$2:$C$1001="Traditional"),ROWS($B$2:B251))),"")</f>
        <v>1.07</v>
      </c>
    </row>
    <row r="252" spans="1:2" x14ac:dyDescent="0.35">
      <c r="A252" cm="1">
        <f t="array" ref="A252">IFERROR(INDEX('Row Level Master Sheet'!$K$2:$K$1001,_xlfn.AGGREGATE(15,6,(ROW('Row Level Master Sheet'!$K$2:$K$1001)-ROW('Row Level Master Sheet'!$K$2)+1)/('Row Level Master Sheet'!$C$2:$C$1001="Digital"),ROWS($A$2:A252))),"")</f>
        <v>0.41000000000000003</v>
      </c>
      <c r="B252" s="39" cm="1">
        <f t="array" ref="B252">IFERROR(INDEX('Row Level Master Sheet'!$K$2:$K$1001,_xlfn.AGGREGATE(15,6,(ROW('Row Level Master Sheet'!$K$2:$K$1001)-ROW('Row Level Master Sheet'!$K$2)+1)/('Row Level Master Sheet'!$C$2:$C$1001="Traditional"),ROWS($B$2:B252))),"")</f>
        <v>1.07</v>
      </c>
    </row>
    <row r="253" spans="1:2" x14ac:dyDescent="0.35">
      <c r="A253" cm="1">
        <f t="array" ref="A253">IFERROR(INDEX('Row Level Master Sheet'!$K$2:$K$1001,_xlfn.AGGREGATE(15,6,(ROW('Row Level Master Sheet'!$K$2:$K$1001)-ROW('Row Level Master Sheet'!$K$2)+1)/('Row Level Master Sheet'!$C$2:$C$1001="Digital"),ROWS($A$2:A253))),"")</f>
        <v>0.42999999999999994</v>
      </c>
      <c r="B253" s="39" cm="1">
        <f t="array" ref="B253">IFERROR(INDEX('Row Level Master Sheet'!$K$2:$K$1001,_xlfn.AGGREGATE(15,6,(ROW('Row Level Master Sheet'!$K$2:$K$1001)-ROW('Row Level Master Sheet'!$K$2)+1)/('Row Level Master Sheet'!$C$2:$C$1001="Traditional"),ROWS($B$2:B253))),"")</f>
        <v>1.0799999999999998</v>
      </c>
    </row>
    <row r="254" spans="1:2" x14ac:dyDescent="0.35">
      <c r="A254" cm="1">
        <f t="array" ref="A254">IFERROR(INDEX('Row Level Master Sheet'!$K$2:$K$1001,_xlfn.AGGREGATE(15,6,(ROW('Row Level Master Sheet'!$K$2:$K$1001)-ROW('Row Level Master Sheet'!$K$2)+1)/('Row Level Master Sheet'!$C$2:$C$1001="Digital"),ROWS($A$2:A254))),"")</f>
        <v>0.43999999999999984</v>
      </c>
      <c r="B254" s="39" cm="1">
        <f t="array" ref="B254">IFERROR(INDEX('Row Level Master Sheet'!$K$2:$K$1001,_xlfn.AGGREGATE(15,6,(ROW('Row Level Master Sheet'!$K$2:$K$1001)-ROW('Row Level Master Sheet'!$K$2)+1)/('Row Level Master Sheet'!$C$2:$C$1001="Traditional"),ROWS($B$2:B254))),"")</f>
        <v>1.0799999999999998</v>
      </c>
    </row>
    <row r="255" spans="1:2" x14ac:dyDescent="0.35">
      <c r="A255" cm="1">
        <f t="array" ref="A255">IFERROR(INDEX('Row Level Master Sheet'!$K$2:$K$1001,_xlfn.AGGREGATE(15,6,(ROW('Row Level Master Sheet'!$K$2:$K$1001)-ROW('Row Level Master Sheet'!$K$2)+1)/('Row Level Master Sheet'!$C$2:$C$1001="Digital"),ROWS($A$2:A255))),"")</f>
        <v>0.43999999999999995</v>
      </c>
      <c r="B255" s="39" cm="1">
        <f t="array" ref="B255">IFERROR(INDEX('Row Level Master Sheet'!$K$2:$K$1001,_xlfn.AGGREGATE(15,6,(ROW('Row Level Master Sheet'!$K$2:$K$1001)-ROW('Row Level Master Sheet'!$K$2)+1)/('Row Level Master Sheet'!$C$2:$C$1001="Traditional"),ROWS($B$2:B255))),"")</f>
        <v>1.0799999999999998</v>
      </c>
    </row>
    <row r="256" spans="1:2" x14ac:dyDescent="0.35">
      <c r="A256" cm="1">
        <f t="array" ref="A256">IFERROR(INDEX('Row Level Master Sheet'!$K$2:$K$1001,_xlfn.AGGREGATE(15,6,(ROW('Row Level Master Sheet'!$K$2:$K$1001)-ROW('Row Level Master Sheet'!$K$2)+1)/('Row Level Master Sheet'!$C$2:$C$1001="Digital"),ROWS($A$2:A256))),"")</f>
        <v>0.44</v>
      </c>
      <c r="B256" s="39" cm="1">
        <f t="array" ref="B256">IFERROR(INDEX('Row Level Master Sheet'!$K$2:$K$1001,_xlfn.AGGREGATE(15,6,(ROW('Row Level Master Sheet'!$K$2:$K$1001)-ROW('Row Level Master Sheet'!$K$2)+1)/('Row Level Master Sheet'!$C$2:$C$1001="Traditional"),ROWS($B$2:B256))),"")</f>
        <v>1.0799999999999998</v>
      </c>
    </row>
    <row r="257" spans="1:2" x14ac:dyDescent="0.35">
      <c r="A257" cm="1">
        <f t="array" ref="A257">IFERROR(INDEX('Row Level Master Sheet'!$K$2:$K$1001,_xlfn.AGGREGATE(15,6,(ROW('Row Level Master Sheet'!$K$2:$K$1001)-ROW('Row Level Master Sheet'!$K$2)+1)/('Row Level Master Sheet'!$C$2:$C$1001="Digital"),ROWS($A$2:A257))),"")</f>
        <v>0.44999999999999984</v>
      </c>
      <c r="B257" s="39" cm="1">
        <f t="array" ref="B257">IFERROR(INDEX('Row Level Master Sheet'!$K$2:$K$1001,_xlfn.AGGREGATE(15,6,(ROW('Row Level Master Sheet'!$K$2:$K$1001)-ROW('Row Level Master Sheet'!$K$2)+1)/('Row Level Master Sheet'!$C$2:$C$1001="Traditional"),ROWS($B$2:B257))),"")</f>
        <v>1.0799999999999998</v>
      </c>
    </row>
    <row r="258" spans="1:2" x14ac:dyDescent="0.35">
      <c r="A258" cm="1">
        <f t="array" ref="A258">IFERROR(INDEX('Row Level Master Sheet'!$K$2:$K$1001,_xlfn.AGGREGATE(15,6,(ROW('Row Level Master Sheet'!$K$2:$K$1001)-ROW('Row Level Master Sheet'!$K$2)+1)/('Row Level Master Sheet'!$C$2:$C$1001="Digital"),ROWS($A$2:A258))),"")</f>
        <v>0.4499999999999999</v>
      </c>
      <c r="B258" s="39" cm="1">
        <f t="array" ref="B258">IFERROR(INDEX('Row Level Master Sheet'!$K$2:$K$1001,_xlfn.AGGREGATE(15,6,(ROW('Row Level Master Sheet'!$K$2:$K$1001)-ROW('Row Level Master Sheet'!$K$2)+1)/('Row Level Master Sheet'!$C$2:$C$1001="Traditional"),ROWS($B$2:B258))),"")</f>
        <v>1.0800000000000003</v>
      </c>
    </row>
    <row r="259" spans="1:2" x14ac:dyDescent="0.35">
      <c r="A259" cm="1">
        <f t="array" ref="A259">IFERROR(INDEX('Row Level Master Sheet'!$K$2:$K$1001,_xlfn.AGGREGATE(15,6,(ROW('Row Level Master Sheet'!$K$2:$K$1001)-ROW('Row Level Master Sheet'!$K$2)+1)/('Row Level Master Sheet'!$C$2:$C$1001="Digital"),ROWS($A$2:A259))),"")</f>
        <v>0.45</v>
      </c>
      <c r="B259" s="39" cm="1">
        <f t="array" ref="B259">IFERROR(INDEX('Row Level Master Sheet'!$K$2:$K$1001,_xlfn.AGGREGATE(15,6,(ROW('Row Level Master Sheet'!$K$2:$K$1001)-ROW('Row Level Master Sheet'!$K$2)+1)/('Row Level Master Sheet'!$C$2:$C$1001="Traditional"),ROWS($B$2:B259))),"")</f>
        <v>1.0899999999999999</v>
      </c>
    </row>
    <row r="260" spans="1:2" x14ac:dyDescent="0.35">
      <c r="A260" cm="1">
        <f t="array" ref="A260">IFERROR(INDEX('Row Level Master Sheet'!$K$2:$K$1001,_xlfn.AGGREGATE(15,6,(ROW('Row Level Master Sheet'!$K$2:$K$1001)-ROW('Row Level Master Sheet'!$K$2)+1)/('Row Level Master Sheet'!$C$2:$C$1001="Digital"),ROWS($A$2:A260))),"")</f>
        <v>0.45000000000000007</v>
      </c>
      <c r="B260" s="39" cm="1">
        <f t="array" ref="B260">IFERROR(INDEX('Row Level Master Sheet'!$K$2:$K$1001,_xlfn.AGGREGATE(15,6,(ROW('Row Level Master Sheet'!$K$2:$K$1001)-ROW('Row Level Master Sheet'!$K$2)+1)/('Row Level Master Sheet'!$C$2:$C$1001="Traditional"),ROWS($B$2:B260))),"")</f>
        <v>1.0900000000000001</v>
      </c>
    </row>
    <row r="261" spans="1:2" x14ac:dyDescent="0.35">
      <c r="A261" cm="1">
        <f t="array" ref="A261">IFERROR(INDEX('Row Level Master Sheet'!$K$2:$K$1001,_xlfn.AGGREGATE(15,6,(ROW('Row Level Master Sheet'!$K$2:$K$1001)-ROW('Row Level Master Sheet'!$K$2)+1)/('Row Level Master Sheet'!$C$2:$C$1001="Digital"),ROWS($A$2:A261))),"")</f>
        <v>0.45999999999999991</v>
      </c>
      <c r="B261" s="39" cm="1">
        <f t="array" ref="B261">IFERROR(INDEX('Row Level Master Sheet'!$K$2:$K$1001,_xlfn.AGGREGATE(15,6,(ROW('Row Level Master Sheet'!$K$2:$K$1001)-ROW('Row Level Master Sheet'!$K$2)+1)/('Row Level Master Sheet'!$C$2:$C$1001="Traditional"),ROWS($B$2:B261))),"")</f>
        <v>1.1000000000000001</v>
      </c>
    </row>
    <row r="262" spans="1:2" x14ac:dyDescent="0.35">
      <c r="A262" cm="1">
        <f t="array" ref="A262">IFERROR(INDEX('Row Level Master Sheet'!$K$2:$K$1001,_xlfn.AGGREGATE(15,6,(ROW('Row Level Master Sheet'!$K$2:$K$1001)-ROW('Row Level Master Sheet'!$K$2)+1)/('Row Level Master Sheet'!$C$2:$C$1001="Digital"),ROWS($A$2:A262))),"")</f>
        <v>0.46</v>
      </c>
      <c r="B262" s="39" cm="1">
        <f t="array" ref="B262">IFERROR(INDEX('Row Level Master Sheet'!$K$2:$K$1001,_xlfn.AGGREGATE(15,6,(ROW('Row Level Master Sheet'!$K$2:$K$1001)-ROW('Row Level Master Sheet'!$K$2)+1)/('Row Level Master Sheet'!$C$2:$C$1001="Traditional"),ROWS($B$2:B262))),"")</f>
        <v>1.1099999999999999</v>
      </c>
    </row>
    <row r="263" spans="1:2" x14ac:dyDescent="0.35">
      <c r="A263" cm="1">
        <f t="array" ref="A263">IFERROR(INDEX('Row Level Master Sheet'!$K$2:$K$1001,_xlfn.AGGREGATE(15,6,(ROW('Row Level Master Sheet'!$K$2:$K$1001)-ROW('Row Level Master Sheet'!$K$2)+1)/('Row Level Master Sheet'!$C$2:$C$1001="Digital"),ROWS($A$2:A263))),"")</f>
        <v>0.46000000000000008</v>
      </c>
      <c r="B263" s="39" cm="1">
        <f t="array" ref="B263">IFERROR(INDEX('Row Level Master Sheet'!$K$2:$K$1001,_xlfn.AGGREGATE(15,6,(ROW('Row Level Master Sheet'!$K$2:$K$1001)-ROW('Row Level Master Sheet'!$K$2)+1)/('Row Level Master Sheet'!$C$2:$C$1001="Traditional"),ROWS($B$2:B263))),"")</f>
        <v>1.1100000000000003</v>
      </c>
    </row>
    <row r="264" spans="1:2" x14ac:dyDescent="0.35">
      <c r="A264" cm="1">
        <f t="array" ref="A264">IFERROR(INDEX('Row Level Master Sheet'!$K$2:$K$1001,_xlfn.AGGREGATE(15,6,(ROW('Row Level Master Sheet'!$K$2:$K$1001)-ROW('Row Level Master Sheet'!$K$2)+1)/('Row Level Master Sheet'!$C$2:$C$1001="Digital"),ROWS($A$2:A264))),"")</f>
        <v>0.46000000000000008</v>
      </c>
      <c r="B264" s="39" cm="1">
        <f t="array" ref="B264">IFERROR(INDEX('Row Level Master Sheet'!$K$2:$K$1001,_xlfn.AGGREGATE(15,6,(ROW('Row Level Master Sheet'!$K$2:$K$1001)-ROW('Row Level Master Sheet'!$K$2)+1)/('Row Level Master Sheet'!$C$2:$C$1001="Traditional"),ROWS($B$2:B264))),"")</f>
        <v>1.1199999999999999</v>
      </c>
    </row>
    <row r="265" spans="1:2" x14ac:dyDescent="0.35">
      <c r="A265" cm="1">
        <f t="array" ref="A265">IFERROR(INDEX('Row Level Master Sheet'!$K$2:$K$1001,_xlfn.AGGREGATE(15,6,(ROW('Row Level Master Sheet'!$K$2:$K$1001)-ROW('Row Level Master Sheet'!$K$2)+1)/('Row Level Master Sheet'!$C$2:$C$1001="Digital"),ROWS($A$2:A265))),"")</f>
        <v>0.46999999999999992</v>
      </c>
      <c r="B265" s="39" cm="1">
        <f t="array" ref="B265">IFERROR(INDEX('Row Level Master Sheet'!$K$2:$K$1001,_xlfn.AGGREGATE(15,6,(ROW('Row Level Master Sheet'!$K$2:$K$1001)-ROW('Row Level Master Sheet'!$K$2)+1)/('Row Level Master Sheet'!$C$2:$C$1001="Traditional"),ROWS($B$2:B265))),"")</f>
        <v>1.1399999999999999</v>
      </c>
    </row>
    <row r="266" spans="1:2" x14ac:dyDescent="0.35">
      <c r="A266" cm="1">
        <f t="array" ref="A266">IFERROR(INDEX('Row Level Master Sheet'!$K$2:$K$1001,_xlfn.AGGREGATE(15,6,(ROW('Row Level Master Sheet'!$K$2:$K$1001)-ROW('Row Level Master Sheet'!$K$2)+1)/('Row Level Master Sheet'!$C$2:$C$1001="Digital"),ROWS($A$2:A266))),"")</f>
        <v>0.47</v>
      </c>
      <c r="B266" s="39" cm="1">
        <f t="array" ref="B266">IFERROR(INDEX('Row Level Master Sheet'!$K$2:$K$1001,_xlfn.AGGREGATE(15,6,(ROW('Row Level Master Sheet'!$K$2:$K$1001)-ROW('Row Level Master Sheet'!$K$2)+1)/('Row Level Master Sheet'!$C$2:$C$1001="Traditional"),ROWS($B$2:B266))),"")</f>
        <v>1.1500000000000001</v>
      </c>
    </row>
    <row r="267" spans="1:2" x14ac:dyDescent="0.35">
      <c r="A267" cm="1">
        <f t="array" ref="A267">IFERROR(INDEX('Row Level Master Sheet'!$K$2:$K$1001,_xlfn.AGGREGATE(15,6,(ROW('Row Level Master Sheet'!$K$2:$K$1001)-ROW('Row Level Master Sheet'!$K$2)+1)/('Row Level Master Sheet'!$C$2:$C$1001="Digital"),ROWS($A$2:A267))),"")</f>
        <v>0.47000000000000003</v>
      </c>
      <c r="B267" s="39" cm="1">
        <f t="array" ref="B267">IFERROR(INDEX('Row Level Master Sheet'!$K$2:$K$1001,_xlfn.AGGREGATE(15,6,(ROW('Row Level Master Sheet'!$K$2:$K$1001)-ROW('Row Level Master Sheet'!$K$2)+1)/('Row Level Master Sheet'!$C$2:$C$1001="Traditional"),ROWS($B$2:B267))),"")</f>
        <v>1.1500000000000001</v>
      </c>
    </row>
    <row r="268" spans="1:2" x14ac:dyDescent="0.35">
      <c r="A268" cm="1">
        <f t="array" ref="A268">IFERROR(INDEX('Row Level Master Sheet'!$K$2:$K$1001,_xlfn.AGGREGATE(15,6,(ROW('Row Level Master Sheet'!$K$2:$K$1001)-ROW('Row Level Master Sheet'!$K$2)+1)/('Row Level Master Sheet'!$C$2:$C$1001="Digital"),ROWS($A$2:A268))),"")</f>
        <v>0.47000000000000003</v>
      </c>
      <c r="B268" s="39" cm="1">
        <f t="array" ref="B268">IFERROR(INDEX('Row Level Master Sheet'!$K$2:$K$1001,_xlfn.AGGREGATE(15,6,(ROW('Row Level Master Sheet'!$K$2:$K$1001)-ROW('Row Level Master Sheet'!$K$2)+1)/('Row Level Master Sheet'!$C$2:$C$1001="Traditional"),ROWS($B$2:B268))),"")</f>
        <v>1.1599999999999999</v>
      </c>
    </row>
    <row r="269" spans="1:2" x14ac:dyDescent="0.35">
      <c r="A269" cm="1">
        <f t="array" ref="A269">IFERROR(INDEX('Row Level Master Sheet'!$K$2:$K$1001,_xlfn.AGGREGATE(15,6,(ROW('Row Level Master Sheet'!$K$2:$K$1001)-ROW('Row Level Master Sheet'!$K$2)+1)/('Row Level Master Sheet'!$C$2:$C$1001="Digital"),ROWS($A$2:A269))),"")</f>
        <v>0.47000000000000003</v>
      </c>
      <c r="B269" s="39" cm="1">
        <f t="array" ref="B269">IFERROR(INDEX('Row Level Master Sheet'!$K$2:$K$1001,_xlfn.AGGREGATE(15,6,(ROW('Row Level Master Sheet'!$K$2:$K$1001)-ROW('Row Level Master Sheet'!$K$2)+1)/('Row Level Master Sheet'!$C$2:$C$1001="Traditional"),ROWS($B$2:B269))),"")</f>
        <v>1.17</v>
      </c>
    </row>
    <row r="270" spans="1:2" x14ac:dyDescent="0.35">
      <c r="A270" cm="1">
        <f t="array" ref="A270">IFERROR(INDEX('Row Level Master Sheet'!$K$2:$K$1001,_xlfn.AGGREGATE(15,6,(ROW('Row Level Master Sheet'!$K$2:$K$1001)-ROW('Row Level Master Sheet'!$K$2)+1)/('Row Level Master Sheet'!$C$2:$C$1001="Digital"),ROWS($A$2:A270))),"")</f>
        <v>0.47000000000000008</v>
      </c>
      <c r="B270" s="39" cm="1">
        <f t="array" ref="B270">IFERROR(INDEX('Row Level Master Sheet'!$K$2:$K$1001,_xlfn.AGGREGATE(15,6,(ROW('Row Level Master Sheet'!$K$2:$K$1001)-ROW('Row Level Master Sheet'!$K$2)+1)/('Row Level Master Sheet'!$C$2:$C$1001="Traditional"),ROWS($B$2:B270))),"")</f>
        <v>1.17</v>
      </c>
    </row>
    <row r="271" spans="1:2" x14ac:dyDescent="0.35">
      <c r="A271" cm="1">
        <f t="array" ref="A271">IFERROR(INDEX('Row Level Master Sheet'!$K$2:$K$1001,_xlfn.AGGREGATE(15,6,(ROW('Row Level Master Sheet'!$K$2:$K$1001)-ROW('Row Level Master Sheet'!$K$2)+1)/('Row Level Master Sheet'!$C$2:$C$1001="Digital"),ROWS($A$2:A271))),"")</f>
        <v>0.47999999999999993</v>
      </c>
      <c r="B271" s="39" cm="1">
        <f t="array" ref="B271">IFERROR(INDEX('Row Level Master Sheet'!$K$2:$K$1001,_xlfn.AGGREGATE(15,6,(ROW('Row Level Master Sheet'!$K$2:$K$1001)-ROW('Row Level Master Sheet'!$K$2)+1)/('Row Level Master Sheet'!$C$2:$C$1001="Traditional"),ROWS($B$2:B271))),"")</f>
        <v>1.17</v>
      </c>
    </row>
    <row r="272" spans="1:2" x14ac:dyDescent="0.35">
      <c r="A272" cm="1">
        <f t="array" ref="A272">IFERROR(INDEX('Row Level Master Sheet'!$K$2:$K$1001,_xlfn.AGGREGATE(15,6,(ROW('Row Level Master Sheet'!$K$2:$K$1001)-ROW('Row Level Master Sheet'!$K$2)+1)/('Row Level Master Sheet'!$C$2:$C$1001="Digital"),ROWS($A$2:A272))),"")</f>
        <v>0.48000000000000004</v>
      </c>
      <c r="B272" s="39" cm="1">
        <f t="array" ref="B272">IFERROR(INDEX('Row Level Master Sheet'!$K$2:$K$1001,_xlfn.AGGREGATE(15,6,(ROW('Row Level Master Sheet'!$K$2:$K$1001)-ROW('Row Level Master Sheet'!$K$2)+1)/('Row Level Master Sheet'!$C$2:$C$1001="Traditional"),ROWS($B$2:B272))),"")</f>
        <v>1.1999999999999997</v>
      </c>
    </row>
    <row r="273" spans="1:2" x14ac:dyDescent="0.35">
      <c r="A273" cm="1">
        <f t="array" ref="A273">IFERROR(INDEX('Row Level Master Sheet'!$K$2:$K$1001,_xlfn.AGGREGATE(15,6,(ROW('Row Level Master Sheet'!$K$2:$K$1001)-ROW('Row Level Master Sheet'!$K$2)+1)/('Row Level Master Sheet'!$C$2:$C$1001="Digital"),ROWS($A$2:A273))),"")</f>
        <v>0.48000000000000004</v>
      </c>
      <c r="B273" s="39" cm="1">
        <f t="array" ref="B273">IFERROR(INDEX('Row Level Master Sheet'!$K$2:$K$1001,_xlfn.AGGREGATE(15,6,(ROW('Row Level Master Sheet'!$K$2:$K$1001)-ROW('Row Level Master Sheet'!$K$2)+1)/('Row Level Master Sheet'!$C$2:$C$1001="Traditional"),ROWS($B$2:B273))),"")</f>
        <v>1.2</v>
      </c>
    </row>
    <row r="274" spans="1:2" x14ac:dyDescent="0.35">
      <c r="A274" cm="1">
        <f t="array" ref="A274">IFERROR(INDEX('Row Level Master Sheet'!$K$2:$K$1001,_xlfn.AGGREGATE(15,6,(ROW('Row Level Master Sheet'!$K$2:$K$1001)-ROW('Row Level Master Sheet'!$K$2)+1)/('Row Level Master Sheet'!$C$2:$C$1001="Digital"),ROWS($A$2:A274))),"")</f>
        <v>0.48000000000000004</v>
      </c>
      <c r="B274" s="39" cm="1">
        <f t="array" ref="B274">IFERROR(INDEX('Row Level Master Sheet'!$K$2:$K$1001,_xlfn.AGGREGATE(15,6,(ROW('Row Level Master Sheet'!$K$2:$K$1001)-ROW('Row Level Master Sheet'!$K$2)+1)/('Row Level Master Sheet'!$C$2:$C$1001="Traditional"),ROWS($B$2:B274))),"")</f>
        <v>1.2</v>
      </c>
    </row>
    <row r="275" spans="1:2" x14ac:dyDescent="0.35">
      <c r="A275" cm="1">
        <f t="array" ref="A275">IFERROR(INDEX('Row Level Master Sheet'!$K$2:$K$1001,_xlfn.AGGREGATE(15,6,(ROW('Row Level Master Sheet'!$K$2:$K$1001)-ROW('Row Level Master Sheet'!$K$2)+1)/('Row Level Master Sheet'!$C$2:$C$1001="Digital"),ROWS($A$2:A275))),"")</f>
        <v>0.48000000000000004</v>
      </c>
      <c r="B275" s="39" cm="1">
        <f t="array" ref="B275">IFERROR(INDEX('Row Level Master Sheet'!$K$2:$K$1001,_xlfn.AGGREGATE(15,6,(ROW('Row Level Master Sheet'!$K$2:$K$1001)-ROW('Row Level Master Sheet'!$K$2)+1)/('Row Level Master Sheet'!$C$2:$C$1001="Traditional"),ROWS($B$2:B275))),"")</f>
        <v>1.2000000000000002</v>
      </c>
    </row>
    <row r="276" spans="1:2" x14ac:dyDescent="0.35">
      <c r="A276" cm="1">
        <f t="array" ref="A276">IFERROR(INDEX('Row Level Master Sheet'!$K$2:$K$1001,_xlfn.AGGREGATE(15,6,(ROW('Row Level Master Sheet'!$K$2:$K$1001)-ROW('Row Level Master Sheet'!$K$2)+1)/('Row Level Master Sheet'!$C$2:$C$1001="Digital"),ROWS($A$2:A276))),"")</f>
        <v>0.48000000000000004</v>
      </c>
      <c r="B276" s="39" cm="1">
        <f t="array" ref="B276">IFERROR(INDEX('Row Level Master Sheet'!$K$2:$K$1001,_xlfn.AGGREGATE(15,6,(ROW('Row Level Master Sheet'!$K$2:$K$1001)-ROW('Row Level Master Sheet'!$K$2)+1)/('Row Level Master Sheet'!$C$2:$C$1001="Traditional"),ROWS($B$2:B276))),"")</f>
        <v>1.2000000000000002</v>
      </c>
    </row>
    <row r="277" spans="1:2" x14ac:dyDescent="0.35">
      <c r="A277" cm="1">
        <f t="array" ref="A277">IFERROR(INDEX('Row Level Master Sheet'!$K$2:$K$1001,_xlfn.AGGREGATE(15,6,(ROW('Row Level Master Sheet'!$K$2:$K$1001)-ROW('Row Level Master Sheet'!$K$2)+1)/('Row Level Master Sheet'!$C$2:$C$1001="Digital"),ROWS($A$2:A277))),"")</f>
        <v>0.48000000000000015</v>
      </c>
      <c r="B277" s="39" cm="1">
        <f t="array" ref="B277">IFERROR(INDEX('Row Level Master Sheet'!$K$2:$K$1001,_xlfn.AGGREGATE(15,6,(ROW('Row Level Master Sheet'!$K$2:$K$1001)-ROW('Row Level Master Sheet'!$K$2)+1)/('Row Level Master Sheet'!$C$2:$C$1001="Traditional"),ROWS($B$2:B277))),"")</f>
        <v>1.2000000000000002</v>
      </c>
    </row>
    <row r="278" spans="1:2" x14ac:dyDescent="0.35">
      <c r="A278" cm="1">
        <f t="array" ref="A278">IFERROR(INDEX('Row Level Master Sheet'!$K$2:$K$1001,_xlfn.AGGREGATE(15,6,(ROW('Row Level Master Sheet'!$K$2:$K$1001)-ROW('Row Level Master Sheet'!$K$2)+1)/('Row Level Master Sheet'!$C$2:$C$1001="Digital"),ROWS($A$2:A278))),"")</f>
        <v>0.48999999999999994</v>
      </c>
      <c r="B278" s="39" cm="1">
        <f t="array" ref="B278">IFERROR(INDEX('Row Level Master Sheet'!$K$2:$K$1001,_xlfn.AGGREGATE(15,6,(ROW('Row Level Master Sheet'!$K$2:$K$1001)-ROW('Row Level Master Sheet'!$K$2)+1)/('Row Level Master Sheet'!$C$2:$C$1001="Traditional"),ROWS($B$2:B278))),"")</f>
        <v>1.2099999999999997</v>
      </c>
    </row>
    <row r="279" spans="1:2" x14ac:dyDescent="0.35">
      <c r="A279" cm="1">
        <f t="array" ref="A279">IFERROR(INDEX('Row Level Master Sheet'!$K$2:$K$1001,_xlfn.AGGREGATE(15,6,(ROW('Row Level Master Sheet'!$K$2:$K$1001)-ROW('Row Level Master Sheet'!$K$2)+1)/('Row Level Master Sheet'!$C$2:$C$1001="Digital"),ROWS($A$2:A279))),"")</f>
        <v>0.49000000000000005</v>
      </c>
      <c r="B279" s="39" cm="1">
        <f t="array" ref="B279">IFERROR(INDEX('Row Level Master Sheet'!$K$2:$K$1001,_xlfn.AGGREGATE(15,6,(ROW('Row Level Master Sheet'!$K$2:$K$1001)-ROW('Row Level Master Sheet'!$K$2)+1)/('Row Level Master Sheet'!$C$2:$C$1001="Traditional"),ROWS($B$2:B279))),"")</f>
        <v>1.21</v>
      </c>
    </row>
    <row r="280" spans="1:2" x14ac:dyDescent="0.35">
      <c r="A280" cm="1">
        <f t="array" ref="A280">IFERROR(INDEX('Row Level Master Sheet'!$K$2:$K$1001,_xlfn.AGGREGATE(15,6,(ROW('Row Level Master Sheet'!$K$2:$K$1001)-ROW('Row Level Master Sheet'!$K$2)+1)/('Row Level Master Sheet'!$C$2:$C$1001="Digital"),ROWS($A$2:A280))),"")</f>
        <v>0.49000000000000005</v>
      </c>
      <c r="B280" s="39" cm="1">
        <f t="array" ref="B280">IFERROR(INDEX('Row Level Master Sheet'!$K$2:$K$1001,_xlfn.AGGREGATE(15,6,(ROW('Row Level Master Sheet'!$K$2:$K$1001)-ROW('Row Level Master Sheet'!$K$2)+1)/('Row Level Master Sheet'!$C$2:$C$1001="Traditional"),ROWS($B$2:B280))),"")</f>
        <v>1.2100000000000002</v>
      </c>
    </row>
    <row r="281" spans="1:2" x14ac:dyDescent="0.35">
      <c r="A281" cm="1">
        <f t="array" ref="A281">IFERROR(INDEX('Row Level Master Sheet'!$K$2:$K$1001,_xlfn.AGGREGATE(15,6,(ROW('Row Level Master Sheet'!$K$2:$K$1001)-ROW('Row Level Master Sheet'!$K$2)+1)/('Row Level Master Sheet'!$C$2:$C$1001="Digital"),ROWS($A$2:A281))),"")</f>
        <v>0.4900000000000001</v>
      </c>
      <c r="B281" s="39" cm="1">
        <f t="array" ref="B281">IFERROR(INDEX('Row Level Master Sheet'!$K$2:$K$1001,_xlfn.AGGREGATE(15,6,(ROW('Row Level Master Sheet'!$K$2:$K$1001)-ROW('Row Level Master Sheet'!$K$2)+1)/('Row Level Master Sheet'!$C$2:$C$1001="Traditional"),ROWS($B$2:B281))),"")</f>
        <v>1.2100000000000002</v>
      </c>
    </row>
    <row r="282" spans="1:2" x14ac:dyDescent="0.35">
      <c r="A282" cm="1">
        <f t="array" ref="A282">IFERROR(INDEX('Row Level Master Sheet'!$K$2:$K$1001,_xlfn.AGGREGATE(15,6,(ROW('Row Level Master Sheet'!$K$2:$K$1001)-ROW('Row Level Master Sheet'!$K$2)+1)/('Row Level Master Sheet'!$C$2:$C$1001="Digital"),ROWS($A$2:A282))),"")</f>
        <v>0.49000000000000021</v>
      </c>
      <c r="B282" s="39" cm="1">
        <f t="array" ref="B282">IFERROR(INDEX('Row Level Master Sheet'!$K$2:$K$1001,_xlfn.AGGREGATE(15,6,(ROW('Row Level Master Sheet'!$K$2:$K$1001)-ROW('Row Level Master Sheet'!$K$2)+1)/('Row Level Master Sheet'!$C$2:$C$1001="Traditional"),ROWS($B$2:B282))),"")</f>
        <v>1.2100000000000002</v>
      </c>
    </row>
    <row r="283" spans="1:2" x14ac:dyDescent="0.35">
      <c r="A283" cm="1">
        <f t="array" ref="A283">IFERROR(INDEX('Row Level Master Sheet'!$K$2:$K$1001,_xlfn.AGGREGATE(15,6,(ROW('Row Level Master Sheet'!$K$2:$K$1001)-ROW('Row Level Master Sheet'!$K$2)+1)/('Row Level Master Sheet'!$C$2:$C$1001="Digital"),ROWS($A$2:A283))),"")</f>
        <v>0.49999999999999994</v>
      </c>
      <c r="B283" s="39" cm="1">
        <f t="array" ref="B283">IFERROR(INDEX('Row Level Master Sheet'!$K$2:$K$1001,_xlfn.AGGREGATE(15,6,(ROW('Row Level Master Sheet'!$K$2:$K$1001)-ROW('Row Level Master Sheet'!$K$2)+1)/('Row Level Master Sheet'!$C$2:$C$1001="Traditional"),ROWS($B$2:B283))),"")</f>
        <v>1.22</v>
      </c>
    </row>
    <row r="284" spans="1:2" x14ac:dyDescent="0.35">
      <c r="A284" cm="1">
        <f t="array" ref="A284">IFERROR(INDEX('Row Level Master Sheet'!$K$2:$K$1001,_xlfn.AGGREGATE(15,6,(ROW('Row Level Master Sheet'!$K$2:$K$1001)-ROW('Row Level Master Sheet'!$K$2)+1)/('Row Level Master Sheet'!$C$2:$C$1001="Digital"),ROWS($A$2:A284))),"")</f>
        <v>0.5</v>
      </c>
      <c r="B284" s="39" cm="1">
        <f t="array" ref="B284">IFERROR(INDEX('Row Level Master Sheet'!$K$2:$K$1001,_xlfn.AGGREGATE(15,6,(ROW('Row Level Master Sheet'!$K$2:$K$1001)-ROW('Row Level Master Sheet'!$K$2)+1)/('Row Level Master Sheet'!$C$2:$C$1001="Traditional"),ROWS($B$2:B284))),"")</f>
        <v>1.2300000000000002</v>
      </c>
    </row>
    <row r="285" spans="1:2" x14ac:dyDescent="0.35">
      <c r="A285" cm="1">
        <f t="array" ref="A285">IFERROR(INDEX('Row Level Master Sheet'!$K$2:$K$1001,_xlfn.AGGREGATE(15,6,(ROW('Row Level Master Sheet'!$K$2:$K$1001)-ROW('Row Level Master Sheet'!$K$2)+1)/('Row Level Master Sheet'!$C$2:$C$1001="Digital"),ROWS($A$2:A285))),"")</f>
        <v>0.50000000000000011</v>
      </c>
      <c r="B285" s="39" cm="1">
        <f t="array" ref="B285">IFERROR(INDEX('Row Level Master Sheet'!$K$2:$K$1001,_xlfn.AGGREGATE(15,6,(ROW('Row Level Master Sheet'!$K$2:$K$1001)-ROW('Row Level Master Sheet'!$K$2)+1)/('Row Level Master Sheet'!$C$2:$C$1001="Traditional"),ROWS($B$2:B285))),"")</f>
        <v>1.24</v>
      </c>
    </row>
    <row r="286" spans="1:2" x14ac:dyDescent="0.35">
      <c r="A286" cm="1">
        <f t="array" ref="A286">IFERROR(INDEX('Row Level Master Sheet'!$K$2:$K$1001,_xlfn.AGGREGATE(15,6,(ROW('Row Level Master Sheet'!$K$2:$K$1001)-ROW('Row Level Master Sheet'!$K$2)+1)/('Row Level Master Sheet'!$C$2:$C$1001="Digital"),ROWS($A$2:A286))),"")</f>
        <v>0.50000000000000011</v>
      </c>
      <c r="B286" s="39" cm="1">
        <f t="array" ref="B286">IFERROR(INDEX('Row Level Master Sheet'!$K$2:$K$1001,_xlfn.AGGREGATE(15,6,(ROW('Row Level Master Sheet'!$K$2:$K$1001)-ROW('Row Level Master Sheet'!$K$2)+1)/('Row Level Master Sheet'!$C$2:$C$1001="Traditional"),ROWS($B$2:B286))),"")</f>
        <v>1.24</v>
      </c>
    </row>
    <row r="287" spans="1:2" x14ac:dyDescent="0.35">
      <c r="A287" cm="1">
        <f t="array" ref="A287">IFERROR(INDEX('Row Level Master Sheet'!$K$2:$K$1001,_xlfn.AGGREGATE(15,6,(ROW('Row Level Master Sheet'!$K$2:$K$1001)-ROW('Row Level Master Sheet'!$K$2)+1)/('Row Level Master Sheet'!$C$2:$C$1001="Digital"),ROWS($A$2:A287))),"")</f>
        <v>0.51000000000000012</v>
      </c>
      <c r="B287" s="39" cm="1">
        <f t="array" ref="B287">IFERROR(INDEX('Row Level Master Sheet'!$K$2:$K$1001,_xlfn.AGGREGATE(15,6,(ROW('Row Level Master Sheet'!$K$2:$K$1001)-ROW('Row Level Master Sheet'!$K$2)+1)/('Row Level Master Sheet'!$C$2:$C$1001="Traditional"),ROWS($B$2:B287))),"")</f>
        <v>1.24</v>
      </c>
    </row>
    <row r="288" spans="1:2" x14ac:dyDescent="0.35">
      <c r="A288" cm="1">
        <f t="array" ref="A288">IFERROR(INDEX('Row Level Master Sheet'!$K$2:$K$1001,_xlfn.AGGREGATE(15,6,(ROW('Row Level Master Sheet'!$K$2:$K$1001)-ROW('Row Level Master Sheet'!$K$2)+1)/('Row Level Master Sheet'!$C$2:$C$1001="Digital"),ROWS($A$2:A288))),"")</f>
        <v>0.51000000000000023</v>
      </c>
      <c r="B288" s="39" cm="1">
        <f t="array" ref="B288">IFERROR(INDEX('Row Level Master Sheet'!$K$2:$K$1001,_xlfn.AGGREGATE(15,6,(ROW('Row Level Master Sheet'!$K$2:$K$1001)-ROW('Row Level Master Sheet'!$K$2)+1)/('Row Level Master Sheet'!$C$2:$C$1001="Traditional"),ROWS($B$2:B288))),"")</f>
        <v>1.24</v>
      </c>
    </row>
    <row r="289" spans="1:2" x14ac:dyDescent="0.35">
      <c r="A289" cm="1">
        <f t="array" ref="A289">IFERROR(INDEX('Row Level Master Sheet'!$K$2:$K$1001,_xlfn.AGGREGATE(15,6,(ROW('Row Level Master Sheet'!$K$2:$K$1001)-ROW('Row Level Master Sheet'!$K$2)+1)/('Row Level Master Sheet'!$C$2:$C$1001="Digital"),ROWS($A$2:A289))),"")</f>
        <v>0.51000000000000023</v>
      </c>
      <c r="B289" s="39" cm="1">
        <f t="array" ref="B289">IFERROR(INDEX('Row Level Master Sheet'!$K$2:$K$1001,_xlfn.AGGREGATE(15,6,(ROW('Row Level Master Sheet'!$K$2:$K$1001)-ROW('Row Level Master Sheet'!$K$2)+1)/('Row Level Master Sheet'!$C$2:$C$1001="Traditional"),ROWS($B$2:B289))),"")</f>
        <v>1.24</v>
      </c>
    </row>
    <row r="290" spans="1:2" x14ac:dyDescent="0.35">
      <c r="A290" cm="1">
        <f t="array" ref="A290">IFERROR(INDEX('Row Level Master Sheet'!$K$2:$K$1001,_xlfn.AGGREGATE(15,6,(ROW('Row Level Master Sheet'!$K$2:$K$1001)-ROW('Row Level Master Sheet'!$K$2)+1)/('Row Level Master Sheet'!$C$2:$C$1001="Digital"),ROWS($A$2:A290))),"")</f>
        <v>0.52</v>
      </c>
      <c r="B290" s="39" cm="1">
        <f t="array" ref="B290">IFERROR(INDEX('Row Level Master Sheet'!$K$2:$K$1001,_xlfn.AGGREGATE(15,6,(ROW('Row Level Master Sheet'!$K$2:$K$1001)-ROW('Row Level Master Sheet'!$K$2)+1)/('Row Level Master Sheet'!$C$2:$C$1001="Traditional"),ROWS($B$2:B290))),"")</f>
        <v>1.2499999999999998</v>
      </c>
    </row>
    <row r="291" spans="1:2" x14ac:dyDescent="0.35">
      <c r="A291" cm="1">
        <f t="array" ref="A291">IFERROR(INDEX('Row Level Master Sheet'!$K$2:$K$1001,_xlfn.AGGREGATE(15,6,(ROW('Row Level Master Sheet'!$K$2:$K$1001)-ROW('Row Level Master Sheet'!$K$2)+1)/('Row Level Master Sheet'!$C$2:$C$1001="Digital"),ROWS($A$2:A291))),"")</f>
        <v>0.52000000000000013</v>
      </c>
      <c r="B291" s="39" cm="1">
        <f t="array" ref="B291">IFERROR(INDEX('Row Level Master Sheet'!$K$2:$K$1001,_xlfn.AGGREGATE(15,6,(ROW('Row Level Master Sheet'!$K$2:$K$1001)-ROW('Row Level Master Sheet'!$K$2)+1)/('Row Level Master Sheet'!$C$2:$C$1001="Traditional"),ROWS($B$2:B291))),"")</f>
        <v>1.25</v>
      </c>
    </row>
    <row r="292" spans="1:2" x14ac:dyDescent="0.35">
      <c r="A292" cm="1">
        <f t="array" ref="A292">IFERROR(INDEX('Row Level Master Sheet'!$K$2:$K$1001,_xlfn.AGGREGATE(15,6,(ROW('Row Level Master Sheet'!$K$2:$K$1001)-ROW('Row Level Master Sheet'!$K$2)+1)/('Row Level Master Sheet'!$C$2:$C$1001="Digital"),ROWS($A$2:A292))),"")</f>
        <v>0.5299999999999998</v>
      </c>
      <c r="B292" s="39" cm="1">
        <f t="array" ref="B292">IFERROR(INDEX('Row Level Master Sheet'!$K$2:$K$1001,_xlfn.AGGREGATE(15,6,(ROW('Row Level Master Sheet'!$K$2:$K$1001)-ROW('Row Level Master Sheet'!$K$2)+1)/('Row Level Master Sheet'!$C$2:$C$1001="Traditional"),ROWS($B$2:B292))),"")</f>
        <v>1.25</v>
      </c>
    </row>
    <row r="293" spans="1:2" x14ac:dyDescent="0.35">
      <c r="A293" cm="1">
        <f t="array" ref="A293">IFERROR(INDEX('Row Level Master Sheet'!$K$2:$K$1001,_xlfn.AGGREGATE(15,6,(ROW('Row Level Master Sheet'!$K$2:$K$1001)-ROW('Row Level Master Sheet'!$K$2)+1)/('Row Level Master Sheet'!$C$2:$C$1001="Digital"),ROWS($A$2:A293))),"")</f>
        <v>0.52999999999999992</v>
      </c>
      <c r="B293" s="39" cm="1">
        <f t="array" ref="B293">IFERROR(INDEX('Row Level Master Sheet'!$K$2:$K$1001,_xlfn.AGGREGATE(15,6,(ROW('Row Level Master Sheet'!$K$2:$K$1001)-ROW('Row Level Master Sheet'!$K$2)+1)/('Row Level Master Sheet'!$C$2:$C$1001="Traditional"),ROWS($B$2:B293))),"")</f>
        <v>1.25</v>
      </c>
    </row>
    <row r="294" spans="1:2" x14ac:dyDescent="0.35">
      <c r="A294" cm="1">
        <f t="array" ref="A294">IFERROR(INDEX('Row Level Master Sheet'!$K$2:$K$1001,_xlfn.AGGREGATE(15,6,(ROW('Row Level Master Sheet'!$K$2:$K$1001)-ROW('Row Level Master Sheet'!$K$2)+1)/('Row Level Master Sheet'!$C$2:$C$1001="Digital"),ROWS($A$2:A294))),"")</f>
        <v>0.52999999999999992</v>
      </c>
      <c r="B294" s="39" cm="1">
        <f t="array" ref="B294">IFERROR(INDEX('Row Level Master Sheet'!$K$2:$K$1001,_xlfn.AGGREGATE(15,6,(ROW('Row Level Master Sheet'!$K$2:$K$1001)-ROW('Row Level Master Sheet'!$K$2)+1)/('Row Level Master Sheet'!$C$2:$C$1001="Traditional"),ROWS($B$2:B294))),"")</f>
        <v>1.25</v>
      </c>
    </row>
    <row r="295" spans="1:2" x14ac:dyDescent="0.35">
      <c r="A295" cm="1">
        <f t="array" ref="A295">IFERROR(INDEX('Row Level Master Sheet'!$K$2:$K$1001,_xlfn.AGGREGATE(15,6,(ROW('Row Level Master Sheet'!$K$2:$K$1001)-ROW('Row Level Master Sheet'!$K$2)+1)/('Row Level Master Sheet'!$C$2:$C$1001="Digital"),ROWS($A$2:A295))),"")</f>
        <v>0.53</v>
      </c>
      <c r="B295" s="39" cm="1">
        <f t="array" ref="B295">IFERROR(INDEX('Row Level Master Sheet'!$K$2:$K$1001,_xlfn.AGGREGATE(15,6,(ROW('Row Level Master Sheet'!$K$2:$K$1001)-ROW('Row Level Master Sheet'!$K$2)+1)/('Row Level Master Sheet'!$C$2:$C$1001="Traditional"),ROWS($B$2:B295))),"")</f>
        <v>1.2500000000000002</v>
      </c>
    </row>
    <row r="296" spans="1:2" x14ac:dyDescent="0.35">
      <c r="A296" cm="1">
        <f t="array" ref="A296">IFERROR(INDEX('Row Level Master Sheet'!$K$2:$K$1001,_xlfn.AGGREGATE(15,6,(ROW('Row Level Master Sheet'!$K$2:$K$1001)-ROW('Row Level Master Sheet'!$K$2)+1)/('Row Level Master Sheet'!$C$2:$C$1001="Digital"),ROWS($A$2:A296))),"")</f>
        <v>0.53</v>
      </c>
      <c r="B296" s="39" cm="1">
        <f t="array" ref="B296">IFERROR(INDEX('Row Level Master Sheet'!$K$2:$K$1001,_xlfn.AGGREGATE(15,6,(ROW('Row Level Master Sheet'!$K$2:$K$1001)-ROW('Row Level Master Sheet'!$K$2)+1)/('Row Level Master Sheet'!$C$2:$C$1001="Traditional"),ROWS($B$2:B296))),"")</f>
        <v>1.26</v>
      </c>
    </row>
    <row r="297" spans="1:2" x14ac:dyDescent="0.35">
      <c r="A297" cm="1">
        <f t="array" ref="A297">IFERROR(INDEX('Row Level Master Sheet'!$K$2:$K$1001,_xlfn.AGGREGATE(15,6,(ROW('Row Level Master Sheet'!$K$2:$K$1001)-ROW('Row Level Master Sheet'!$K$2)+1)/('Row Level Master Sheet'!$C$2:$C$1001="Digital"),ROWS($A$2:A297))),"")</f>
        <v>0.53</v>
      </c>
      <c r="B297" s="39" cm="1">
        <f t="array" ref="B297">IFERROR(INDEX('Row Level Master Sheet'!$K$2:$K$1001,_xlfn.AGGREGATE(15,6,(ROW('Row Level Master Sheet'!$K$2:$K$1001)-ROW('Row Level Master Sheet'!$K$2)+1)/('Row Level Master Sheet'!$C$2:$C$1001="Traditional"),ROWS($B$2:B297))),"")</f>
        <v>1.26</v>
      </c>
    </row>
    <row r="298" spans="1:2" x14ac:dyDescent="0.35">
      <c r="A298" cm="1">
        <f t="array" ref="A298">IFERROR(INDEX('Row Level Master Sheet'!$K$2:$K$1001,_xlfn.AGGREGATE(15,6,(ROW('Row Level Master Sheet'!$K$2:$K$1001)-ROW('Row Level Master Sheet'!$K$2)+1)/('Row Level Master Sheet'!$C$2:$C$1001="Digital"),ROWS($A$2:A298))),"")</f>
        <v>0.53</v>
      </c>
      <c r="B298" s="39" cm="1">
        <f t="array" ref="B298">IFERROR(INDEX('Row Level Master Sheet'!$K$2:$K$1001,_xlfn.AGGREGATE(15,6,(ROW('Row Level Master Sheet'!$K$2:$K$1001)-ROW('Row Level Master Sheet'!$K$2)+1)/('Row Level Master Sheet'!$C$2:$C$1001="Traditional"),ROWS($B$2:B298))),"")</f>
        <v>1.26</v>
      </c>
    </row>
    <row r="299" spans="1:2" x14ac:dyDescent="0.35">
      <c r="A299" cm="1">
        <f t="array" ref="A299">IFERROR(INDEX('Row Level Master Sheet'!$K$2:$K$1001,_xlfn.AGGREGATE(15,6,(ROW('Row Level Master Sheet'!$K$2:$K$1001)-ROW('Row Level Master Sheet'!$K$2)+1)/('Row Level Master Sheet'!$C$2:$C$1001="Digital"),ROWS($A$2:A299))),"")</f>
        <v>0.54</v>
      </c>
      <c r="B299" s="39" cm="1">
        <f t="array" ref="B299">IFERROR(INDEX('Row Level Master Sheet'!$K$2:$K$1001,_xlfn.AGGREGATE(15,6,(ROW('Row Level Master Sheet'!$K$2:$K$1001)-ROW('Row Level Master Sheet'!$K$2)+1)/('Row Level Master Sheet'!$C$2:$C$1001="Traditional"),ROWS($B$2:B299))),"")</f>
        <v>1.26</v>
      </c>
    </row>
    <row r="300" spans="1:2" x14ac:dyDescent="0.35">
      <c r="A300" cm="1">
        <f t="array" ref="A300">IFERROR(INDEX('Row Level Master Sheet'!$K$2:$K$1001,_xlfn.AGGREGATE(15,6,(ROW('Row Level Master Sheet'!$K$2:$K$1001)-ROW('Row Level Master Sheet'!$K$2)+1)/('Row Level Master Sheet'!$C$2:$C$1001="Digital"),ROWS($A$2:A300))),"")</f>
        <v>0.54</v>
      </c>
      <c r="B300" s="39" cm="1">
        <f t="array" ref="B300">IFERROR(INDEX('Row Level Master Sheet'!$K$2:$K$1001,_xlfn.AGGREGATE(15,6,(ROW('Row Level Master Sheet'!$K$2:$K$1001)-ROW('Row Level Master Sheet'!$K$2)+1)/('Row Level Master Sheet'!$C$2:$C$1001="Traditional"),ROWS($B$2:B300))),"")</f>
        <v>1.26</v>
      </c>
    </row>
    <row r="301" spans="1:2" x14ac:dyDescent="0.35">
      <c r="A301" cm="1">
        <f t="array" ref="A301">IFERROR(INDEX('Row Level Master Sheet'!$K$2:$K$1001,_xlfn.AGGREGATE(15,6,(ROW('Row Level Master Sheet'!$K$2:$K$1001)-ROW('Row Level Master Sheet'!$K$2)+1)/('Row Level Master Sheet'!$C$2:$C$1001="Digital"),ROWS($A$2:A301))),"")</f>
        <v>0.54999999999999982</v>
      </c>
      <c r="B301" s="39" cm="1">
        <f t="array" ref="B301">IFERROR(INDEX('Row Level Master Sheet'!$K$2:$K$1001,_xlfn.AGGREGATE(15,6,(ROW('Row Level Master Sheet'!$K$2:$K$1001)-ROW('Row Level Master Sheet'!$K$2)+1)/('Row Level Master Sheet'!$C$2:$C$1001="Traditional"),ROWS($B$2:B301))),"")</f>
        <v>1.2699999999999996</v>
      </c>
    </row>
    <row r="302" spans="1:2" x14ac:dyDescent="0.35">
      <c r="A302" cm="1">
        <f t="array" ref="A302">IFERROR(INDEX('Row Level Master Sheet'!$K$2:$K$1001,_xlfn.AGGREGATE(15,6,(ROW('Row Level Master Sheet'!$K$2:$K$1001)-ROW('Row Level Master Sheet'!$K$2)+1)/('Row Level Master Sheet'!$C$2:$C$1001="Digital"),ROWS($A$2:A302))),"")</f>
        <v>0.55000000000000004</v>
      </c>
      <c r="B302" s="39" cm="1">
        <f t="array" ref="B302">IFERROR(INDEX('Row Level Master Sheet'!$K$2:$K$1001,_xlfn.AGGREGATE(15,6,(ROW('Row Level Master Sheet'!$K$2:$K$1001)-ROW('Row Level Master Sheet'!$K$2)+1)/('Row Level Master Sheet'!$C$2:$C$1001="Traditional"),ROWS($B$2:B302))),"")</f>
        <v>1.2699999999999998</v>
      </c>
    </row>
    <row r="303" spans="1:2" x14ac:dyDescent="0.35">
      <c r="A303" cm="1">
        <f t="array" ref="A303">IFERROR(INDEX('Row Level Master Sheet'!$K$2:$K$1001,_xlfn.AGGREGATE(15,6,(ROW('Row Level Master Sheet'!$K$2:$K$1001)-ROW('Row Level Master Sheet'!$K$2)+1)/('Row Level Master Sheet'!$C$2:$C$1001="Digital"),ROWS($A$2:A303))),"")</f>
        <v>0.55000000000000004</v>
      </c>
      <c r="B303" s="39" cm="1">
        <f t="array" ref="B303">IFERROR(INDEX('Row Level Master Sheet'!$K$2:$K$1001,_xlfn.AGGREGATE(15,6,(ROW('Row Level Master Sheet'!$K$2:$K$1001)-ROW('Row Level Master Sheet'!$K$2)+1)/('Row Level Master Sheet'!$C$2:$C$1001="Traditional"),ROWS($B$2:B303))),"")</f>
        <v>1.2699999999999998</v>
      </c>
    </row>
    <row r="304" spans="1:2" x14ac:dyDescent="0.35">
      <c r="A304" cm="1">
        <f t="array" ref="A304">IFERROR(INDEX('Row Level Master Sheet'!$K$2:$K$1001,_xlfn.AGGREGATE(15,6,(ROW('Row Level Master Sheet'!$K$2:$K$1001)-ROW('Row Level Master Sheet'!$K$2)+1)/('Row Level Master Sheet'!$C$2:$C$1001="Digital"),ROWS($A$2:A304))),"")</f>
        <v>0.55000000000000004</v>
      </c>
      <c r="B304" s="39" cm="1">
        <f t="array" ref="B304">IFERROR(INDEX('Row Level Master Sheet'!$K$2:$K$1001,_xlfn.AGGREGATE(15,6,(ROW('Row Level Master Sheet'!$K$2:$K$1001)-ROW('Row Level Master Sheet'!$K$2)+1)/('Row Level Master Sheet'!$C$2:$C$1001="Traditional"),ROWS($B$2:B304))),"")</f>
        <v>1.27</v>
      </c>
    </row>
    <row r="305" spans="1:2" x14ac:dyDescent="0.35">
      <c r="A305" cm="1">
        <f t="array" ref="A305">IFERROR(INDEX('Row Level Master Sheet'!$K$2:$K$1001,_xlfn.AGGREGATE(15,6,(ROW('Row Level Master Sheet'!$K$2:$K$1001)-ROW('Row Level Master Sheet'!$K$2)+1)/('Row Level Master Sheet'!$C$2:$C$1001="Digital"),ROWS($A$2:A305))),"")</f>
        <v>0.55999999999999972</v>
      </c>
      <c r="B305" s="39" cm="1">
        <f t="array" ref="B305">IFERROR(INDEX('Row Level Master Sheet'!$K$2:$K$1001,_xlfn.AGGREGATE(15,6,(ROW('Row Level Master Sheet'!$K$2:$K$1001)-ROW('Row Level Master Sheet'!$K$2)+1)/('Row Level Master Sheet'!$C$2:$C$1001="Traditional"),ROWS($B$2:B305))),"")</f>
        <v>1.27</v>
      </c>
    </row>
    <row r="306" spans="1:2" x14ac:dyDescent="0.35">
      <c r="A306" cm="1">
        <f t="array" ref="A306">IFERROR(INDEX('Row Level Master Sheet'!$K$2:$K$1001,_xlfn.AGGREGATE(15,6,(ROW('Row Level Master Sheet'!$K$2:$K$1001)-ROW('Row Level Master Sheet'!$K$2)+1)/('Row Level Master Sheet'!$C$2:$C$1001="Digital"),ROWS($A$2:A306))),"")</f>
        <v>0.55999999999999983</v>
      </c>
      <c r="B306" s="39" cm="1">
        <f t="array" ref="B306">IFERROR(INDEX('Row Level Master Sheet'!$K$2:$K$1001,_xlfn.AGGREGATE(15,6,(ROW('Row Level Master Sheet'!$K$2:$K$1001)-ROW('Row Level Master Sheet'!$K$2)+1)/('Row Level Master Sheet'!$C$2:$C$1001="Traditional"),ROWS($B$2:B306))),"")</f>
        <v>1.2700000000000002</v>
      </c>
    </row>
    <row r="307" spans="1:2" x14ac:dyDescent="0.35">
      <c r="A307" cm="1">
        <f t="array" ref="A307">IFERROR(INDEX('Row Level Master Sheet'!$K$2:$K$1001,_xlfn.AGGREGATE(15,6,(ROW('Row Level Master Sheet'!$K$2:$K$1001)-ROW('Row Level Master Sheet'!$K$2)+1)/('Row Level Master Sheet'!$C$2:$C$1001="Digital"),ROWS($A$2:A307))),"")</f>
        <v>0.55999999999999983</v>
      </c>
      <c r="B307" s="39" cm="1">
        <f t="array" ref="B307">IFERROR(INDEX('Row Level Master Sheet'!$K$2:$K$1001,_xlfn.AGGREGATE(15,6,(ROW('Row Level Master Sheet'!$K$2:$K$1001)-ROW('Row Level Master Sheet'!$K$2)+1)/('Row Level Master Sheet'!$C$2:$C$1001="Traditional"),ROWS($B$2:B307))),"")</f>
        <v>1.28</v>
      </c>
    </row>
    <row r="308" spans="1:2" x14ac:dyDescent="0.35">
      <c r="A308" cm="1">
        <f t="array" ref="A308">IFERROR(INDEX('Row Level Master Sheet'!$K$2:$K$1001,_xlfn.AGGREGATE(15,6,(ROW('Row Level Master Sheet'!$K$2:$K$1001)-ROW('Row Level Master Sheet'!$K$2)+1)/('Row Level Master Sheet'!$C$2:$C$1001="Digital"),ROWS($A$2:A308))),"")</f>
        <v>0.55999999999999994</v>
      </c>
      <c r="B308" s="39" cm="1">
        <f t="array" ref="B308">IFERROR(INDEX('Row Level Master Sheet'!$K$2:$K$1001,_xlfn.AGGREGATE(15,6,(ROW('Row Level Master Sheet'!$K$2:$K$1001)-ROW('Row Level Master Sheet'!$K$2)+1)/('Row Level Master Sheet'!$C$2:$C$1001="Traditional"),ROWS($B$2:B308))),"")</f>
        <v>1.28</v>
      </c>
    </row>
    <row r="309" spans="1:2" x14ac:dyDescent="0.35">
      <c r="A309" cm="1">
        <f t="array" ref="A309">IFERROR(INDEX('Row Level Master Sheet'!$K$2:$K$1001,_xlfn.AGGREGATE(15,6,(ROW('Row Level Master Sheet'!$K$2:$K$1001)-ROW('Row Level Master Sheet'!$K$2)+1)/('Row Level Master Sheet'!$C$2:$C$1001="Digital"),ROWS($A$2:A309))),"")</f>
        <v>0.55999999999999994</v>
      </c>
      <c r="B309" s="39" cm="1">
        <f t="array" ref="B309">IFERROR(INDEX('Row Level Master Sheet'!$K$2:$K$1001,_xlfn.AGGREGATE(15,6,(ROW('Row Level Master Sheet'!$K$2:$K$1001)-ROW('Row Level Master Sheet'!$K$2)+1)/('Row Level Master Sheet'!$C$2:$C$1001="Traditional"),ROWS($B$2:B309))),"")</f>
        <v>1.29</v>
      </c>
    </row>
    <row r="310" spans="1:2" x14ac:dyDescent="0.35">
      <c r="A310" cm="1">
        <f t="array" ref="A310">IFERROR(INDEX('Row Level Master Sheet'!$K$2:$K$1001,_xlfn.AGGREGATE(15,6,(ROW('Row Level Master Sheet'!$K$2:$K$1001)-ROW('Row Level Master Sheet'!$K$2)+1)/('Row Level Master Sheet'!$C$2:$C$1001="Digital"),ROWS($A$2:A310))),"")</f>
        <v>0.55999999999999994</v>
      </c>
      <c r="B310" s="39" cm="1">
        <f t="array" ref="B310">IFERROR(INDEX('Row Level Master Sheet'!$K$2:$K$1001,_xlfn.AGGREGATE(15,6,(ROW('Row Level Master Sheet'!$K$2:$K$1001)-ROW('Row Level Master Sheet'!$K$2)+1)/('Row Level Master Sheet'!$C$2:$C$1001="Traditional"),ROWS($B$2:B310))),"")</f>
        <v>1.2900000000000003</v>
      </c>
    </row>
    <row r="311" spans="1:2" x14ac:dyDescent="0.35">
      <c r="A311" cm="1">
        <f t="array" ref="A311">IFERROR(INDEX('Row Level Master Sheet'!$K$2:$K$1001,_xlfn.AGGREGATE(15,6,(ROW('Row Level Master Sheet'!$K$2:$K$1001)-ROW('Row Level Master Sheet'!$K$2)+1)/('Row Level Master Sheet'!$C$2:$C$1001="Digital"),ROWS($A$2:A311))),"")</f>
        <v>0.56000000000000005</v>
      </c>
      <c r="B311" s="39" cm="1">
        <f t="array" ref="B311">IFERROR(INDEX('Row Level Master Sheet'!$K$2:$K$1001,_xlfn.AGGREGATE(15,6,(ROW('Row Level Master Sheet'!$K$2:$K$1001)-ROW('Row Level Master Sheet'!$K$2)+1)/('Row Level Master Sheet'!$C$2:$C$1001="Traditional"),ROWS($B$2:B311))),"")</f>
        <v>1.3099999999999998</v>
      </c>
    </row>
    <row r="312" spans="1:2" x14ac:dyDescent="0.35">
      <c r="A312" cm="1">
        <f t="array" ref="A312">IFERROR(INDEX('Row Level Master Sheet'!$K$2:$K$1001,_xlfn.AGGREGATE(15,6,(ROW('Row Level Master Sheet'!$K$2:$K$1001)-ROW('Row Level Master Sheet'!$K$2)+1)/('Row Level Master Sheet'!$C$2:$C$1001="Digital"),ROWS($A$2:A312))),"")</f>
        <v>0.56000000000000005</v>
      </c>
      <c r="B312" s="39" cm="1">
        <f t="array" ref="B312">IFERROR(INDEX('Row Level Master Sheet'!$K$2:$K$1001,_xlfn.AGGREGATE(15,6,(ROW('Row Level Master Sheet'!$K$2:$K$1001)-ROW('Row Level Master Sheet'!$K$2)+1)/('Row Level Master Sheet'!$C$2:$C$1001="Traditional"),ROWS($B$2:B312))),"")</f>
        <v>1.3100000000000003</v>
      </c>
    </row>
    <row r="313" spans="1:2" x14ac:dyDescent="0.35">
      <c r="A313" cm="1">
        <f t="array" ref="A313">IFERROR(INDEX('Row Level Master Sheet'!$K$2:$K$1001,_xlfn.AGGREGATE(15,6,(ROW('Row Level Master Sheet'!$K$2:$K$1001)-ROW('Row Level Master Sheet'!$K$2)+1)/('Row Level Master Sheet'!$C$2:$C$1001="Digital"),ROWS($A$2:A313))),"")</f>
        <v>0.56000000000000016</v>
      </c>
      <c r="B313" s="39" cm="1">
        <f t="array" ref="B313">IFERROR(INDEX('Row Level Master Sheet'!$K$2:$K$1001,_xlfn.AGGREGATE(15,6,(ROW('Row Level Master Sheet'!$K$2:$K$1001)-ROW('Row Level Master Sheet'!$K$2)+1)/('Row Level Master Sheet'!$C$2:$C$1001="Traditional"),ROWS($B$2:B313))),"")</f>
        <v>1.3300000000000003</v>
      </c>
    </row>
    <row r="314" spans="1:2" x14ac:dyDescent="0.35">
      <c r="A314" cm="1">
        <f t="array" ref="A314">IFERROR(INDEX('Row Level Master Sheet'!$K$2:$K$1001,_xlfn.AGGREGATE(15,6,(ROW('Row Level Master Sheet'!$K$2:$K$1001)-ROW('Row Level Master Sheet'!$K$2)+1)/('Row Level Master Sheet'!$C$2:$C$1001="Digital"),ROWS($A$2:A314))),"")</f>
        <v>0.56999999999999984</v>
      </c>
      <c r="B314" s="39" cm="1">
        <f t="array" ref="B314">IFERROR(INDEX('Row Level Master Sheet'!$K$2:$K$1001,_xlfn.AGGREGATE(15,6,(ROW('Row Level Master Sheet'!$K$2:$K$1001)-ROW('Row Level Master Sheet'!$K$2)+1)/('Row Level Master Sheet'!$C$2:$C$1001="Traditional"),ROWS($B$2:B314))),"")</f>
        <v>1.34</v>
      </c>
    </row>
    <row r="315" spans="1:2" x14ac:dyDescent="0.35">
      <c r="A315" cm="1">
        <f t="array" ref="A315">IFERROR(INDEX('Row Level Master Sheet'!$K$2:$K$1001,_xlfn.AGGREGATE(15,6,(ROW('Row Level Master Sheet'!$K$2:$K$1001)-ROW('Row Level Master Sheet'!$K$2)+1)/('Row Level Master Sheet'!$C$2:$C$1001="Digital"),ROWS($A$2:A315))),"")</f>
        <v>0.56999999999999995</v>
      </c>
      <c r="B315" s="39" cm="1">
        <f t="array" ref="B315">IFERROR(INDEX('Row Level Master Sheet'!$K$2:$K$1001,_xlfn.AGGREGATE(15,6,(ROW('Row Level Master Sheet'!$K$2:$K$1001)-ROW('Row Level Master Sheet'!$K$2)+1)/('Row Level Master Sheet'!$C$2:$C$1001="Traditional"),ROWS($B$2:B315))),"")</f>
        <v>1.3400000000000003</v>
      </c>
    </row>
    <row r="316" spans="1:2" x14ac:dyDescent="0.35">
      <c r="A316" cm="1">
        <f t="array" ref="A316">IFERROR(INDEX('Row Level Master Sheet'!$K$2:$K$1001,_xlfn.AGGREGATE(15,6,(ROW('Row Level Master Sheet'!$K$2:$K$1001)-ROW('Row Level Master Sheet'!$K$2)+1)/('Row Level Master Sheet'!$C$2:$C$1001="Digital"),ROWS($A$2:A316))),"")</f>
        <v>0.57000000000000006</v>
      </c>
      <c r="B316" s="39" cm="1">
        <f t="array" ref="B316">IFERROR(INDEX('Row Level Master Sheet'!$K$2:$K$1001,_xlfn.AGGREGATE(15,6,(ROW('Row Level Master Sheet'!$K$2:$K$1001)-ROW('Row Level Master Sheet'!$K$2)+1)/('Row Level Master Sheet'!$C$2:$C$1001="Traditional"),ROWS($B$2:B316))),"")</f>
        <v>1.35</v>
      </c>
    </row>
    <row r="317" spans="1:2" x14ac:dyDescent="0.35">
      <c r="A317" cm="1">
        <f t="array" ref="A317">IFERROR(INDEX('Row Level Master Sheet'!$K$2:$K$1001,_xlfn.AGGREGATE(15,6,(ROW('Row Level Master Sheet'!$K$2:$K$1001)-ROW('Row Level Master Sheet'!$K$2)+1)/('Row Level Master Sheet'!$C$2:$C$1001="Digital"),ROWS($A$2:A317))),"")</f>
        <v>0.57000000000000006</v>
      </c>
      <c r="B317" s="39" cm="1">
        <f t="array" ref="B317">IFERROR(INDEX('Row Level Master Sheet'!$K$2:$K$1001,_xlfn.AGGREGATE(15,6,(ROW('Row Level Master Sheet'!$K$2:$K$1001)-ROW('Row Level Master Sheet'!$K$2)+1)/('Row Level Master Sheet'!$C$2:$C$1001="Traditional"),ROWS($B$2:B317))),"")</f>
        <v>1.3599999999999999</v>
      </c>
    </row>
    <row r="318" spans="1:2" x14ac:dyDescent="0.35">
      <c r="A318" cm="1">
        <f t="array" ref="A318">IFERROR(INDEX('Row Level Master Sheet'!$K$2:$K$1001,_xlfn.AGGREGATE(15,6,(ROW('Row Level Master Sheet'!$K$2:$K$1001)-ROW('Row Level Master Sheet'!$K$2)+1)/('Row Level Master Sheet'!$C$2:$C$1001="Digital"),ROWS($A$2:A318))),"")</f>
        <v>0.57000000000000006</v>
      </c>
      <c r="B318" s="39" cm="1">
        <f t="array" ref="B318">IFERROR(INDEX('Row Level Master Sheet'!$K$2:$K$1001,_xlfn.AGGREGATE(15,6,(ROW('Row Level Master Sheet'!$K$2:$K$1001)-ROW('Row Level Master Sheet'!$K$2)+1)/('Row Level Master Sheet'!$C$2:$C$1001="Traditional"),ROWS($B$2:B318))),"")</f>
        <v>1.3599999999999999</v>
      </c>
    </row>
    <row r="319" spans="1:2" x14ac:dyDescent="0.35">
      <c r="A319" cm="1">
        <f t="array" ref="A319">IFERROR(INDEX('Row Level Master Sheet'!$K$2:$K$1001,_xlfn.AGGREGATE(15,6,(ROW('Row Level Master Sheet'!$K$2:$K$1001)-ROW('Row Level Master Sheet'!$K$2)+1)/('Row Level Master Sheet'!$C$2:$C$1001="Digital"),ROWS($A$2:A319))),"")</f>
        <v>0.57999999999999996</v>
      </c>
      <c r="B319" s="39" cm="1">
        <f t="array" ref="B319">IFERROR(INDEX('Row Level Master Sheet'!$K$2:$K$1001,_xlfn.AGGREGATE(15,6,(ROW('Row Level Master Sheet'!$K$2:$K$1001)-ROW('Row Level Master Sheet'!$K$2)+1)/('Row Level Master Sheet'!$C$2:$C$1001="Traditional"),ROWS($B$2:B319))),"")</f>
        <v>1.3699999999999999</v>
      </c>
    </row>
    <row r="320" spans="1:2" x14ac:dyDescent="0.35">
      <c r="A320" cm="1">
        <f t="array" ref="A320">IFERROR(INDEX('Row Level Master Sheet'!$K$2:$K$1001,_xlfn.AGGREGATE(15,6,(ROW('Row Level Master Sheet'!$K$2:$K$1001)-ROW('Row Level Master Sheet'!$K$2)+1)/('Row Level Master Sheet'!$C$2:$C$1001="Digital"),ROWS($A$2:A320))),"")</f>
        <v>0.58000000000000007</v>
      </c>
      <c r="B320" s="39" cm="1">
        <f t="array" ref="B320">IFERROR(INDEX('Row Level Master Sheet'!$K$2:$K$1001,_xlfn.AGGREGATE(15,6,(ROW('Row Level Master Sheet'!$K$2:$K$1001)-ROW('Row Level Master Sheet'!$K$2)+1)/('Row Level Master Sheet'!$C$2:$C$1001="Traditional"),ROWS($B$2:B320))),"")</f>
        <v>1.37</v>
      </c>
    </row>
    <row r="321" spans="1:2" x14ac:dyDescent="0.35">
      <c r="A321" cm="1">
        <f t="array" ref="A321">IFERROR(INDEX('Row Level Master Sheet'!$K$2:$K$1001,_xlfn.AGGREGATE(15,6,(ROW('Row Level Master Sheet'!$K$2:$K$1001)-ROW('Row Level Master Sheet'!$K$2)+1)/('Row Level Master Sheet'!$C$2:$C$1001="Digital"),ROWS($A$2:A321))),"")</f>
        <v>0.58000000000000018</v>
      </c>
      <c r="B321" s="39" cm="1">
        <f t="array" ref="B321">IFERROR(INDEX('Row Level Master Sheet'!$K$2:$K$1001,_xlfn.AGGREGATE(15,6,(ROW('Row Level Master Sheet'!$K$2:$K$1001)-ROW('Row Level Master Sheet'!$K$2)+1)/('Row Level Master Sheet'!$C$2:$C$1001="Traditional"),ROWS($B$2:B321))),"")</f>
        <v>1.3799999999999997</v>
      </c>
    </row>
    <row r="322" spans="1:2" x14ac:dyDescent="0.35">
      <c r="A322" cm="1">
        <f t="array" ref="A322">IFERROR(INDEX('Row Level Master Sheet'!$K$2:$K$1001,_xlfn.AGGREGATE(15,6,(ROW('Row Level Master Sheet'!$K$2:$K$1001)-ROW('Row Level Master Sheet'!$K$2)+1)/('Row Level Master Sheet'!$C$2:$C$1001="Digital"),ROWS($A$2:A322))),"")</f>
        <v>0.58999999999999986</v>
      </c>
      <c r="B322" s="39" cm="1">
        <f t="array" ref="B322">IFERROR(INDEX('Row Level Master Sheet'!$K$2:$K$1001,_xlfn.AGGREGATE(15,6,(ROW('Row Level Master Sheet'!$K$2:$K$1001)-ROW('Row Level Master Sheet'!$K$2)+1)/('Row Level Master Sheet'!$C$2:$C$1001="Traditional"),ROWS($B$2:B322))),"")</f>
        <v>1.38</v>
      </c>
    </row>
    <row r="323" spans="1:2" x14ac:dyDescent="0.35">
      <c r="A323" cm="1">
        <f t="array" ref="A323">IFERROR(INDEX('Row Level Master Sheet'!$K$2:$K$1001,_xlfn.AGGREGATE(15,6,(ROW('Row Level Master Sheet'!$K$2:$K$1001)-ROW('Row Level Master Sheet'!$K$2)+1)/('Row Level Master Sheet'!$C$2:$C$1001="Digital"),ROWS($A$2:A323))),"")</f>
        <v>0.59000000000000008</v>
      </c>
      <c r="B323" s="39" cm="1">
        <f t="array" ref="B323">IFERROR(INDEX('Row Level Master Sheet'!$K$2:$K$1001,_xlfn.AGGREGATE(15,6,(ROW('Row Level Master Sheet'!$K$2:$K$1001)-ROW('Row Level Master Sheet'!$K$2)+1)/('Row Level Master Sheet'!$C$2:$C$1001="Traditional"),ROWS($B$2:B323))),"")</f>
        <v>1.38</v>
      </c>
    </row>
    <row r="324" spans="1:2" x14ac:dyDescent="0.35">
      <c r="A324" cm="1">
        <f t="array" ref="A324">IFERROR(INDEX('Row Level Master Sheet'!$K$2:$K$1001,_xlfn.AGGREGATE(15,6,(ROW('Row Level Master Sheet'!$K$2:$K$1001)-ROW('Row Level Master Sheet'!$K$2)+1)/('Row Level Master Sheet'!$C$2:$C$1001="Digital"),ROWS($A$2:A324))),"")</f>
        <v>0.59000000000000008</v>
      </c>
      <c r="B324" s="39" cm="1">
        <f t="array" ref="B324">IFERROR(INDEX('Row Level Master Sheet'!$K$2:$K$1001,_xlfn.AGGREGATE(15,6,(ROW('Row Level Master Sheet'!$K$2:$K$1001)-ROW('Row Level Master Sheet'!$K$2)+1)/('Row Level Master Sheet'!$C$2:$C$1001="Traditional"),ROWS($B$2:B324))),"")</f>
        <v>1.3800000000000001</v>
      </c>
    </row>
    <row r="325" spans="1:2" x14ac:dyDescent="0.35">
      <c r="A325" cm="1">
        <f t="array" ref="A325">IFERROR(INDEX('Row Level Master Sheet'!$K$2:$K$1001,_xlfn.AGGREGATE(15,6,(ROW('Row Level Master Sheet'!$K$2:$K$1001)-ROW('Row Level Master Sheet'!$K$2)+1)/('Row Level Master Sheet'!$C$2:$C$1001="Digital"),ROWS($A$2:A325))),"")</f>
        <v>0.59000000000000008</v>
      </c>
      <c r="B325" s="39" cm="1">
        <f t="array" ref="B325">IFERROR(INDEX('Row Level Master Sheet'!$K$2:$K$1001,_xlfn.AGGREGATE(15,6,(ROW('Row Level Master Sheet'!$K$2:$K$1001)-ROW('Row Level Master Sheet'!$K$2)+1)/('Row Level Master Sheet'!$C$2:$C$1001="Traditional"),ROWS($B$2:B325))),"")</f>
        <v>1.3899999999999997</v>
      </c>
    </row>
    <row r="326" spans="1:2" x14ac:dyDescent="0.35">
      <c r="A326" cm="1">
        <f t="array" ref="A326">IFERROR(INDEX('Row Level Master Sheet'!$K$2:$K$1001,_xlfn.AGGREGATE(15,6,(ROW('Row Level Master Sheet'!$K$2:$K$1001)-ROW('Row Level Master Sheet'!$K$2)+1)/('Row Level Master Sheet'!$C$2:$C$1001="Digital"),ROWS($A$2:A326))),"")</f>
        <v>0.59999999999999987</v>
      </c>
      <c r="B326" s="39" cm="1">
        <f t="array" ref="B326">IFERROR(INDEX('Row Level Master Sheet'!$K$2:$K$1001,_xlfn.AGGREGATE(15,6,(ROW('Row Level Master Sheet'!$K$2:$K$1001)-ROW('Row Level Master Sheet'!$K$2)+1)/('Row Level Master Sheet'!$C$2:$C$1001="Traditional"),ROWS($B$2:B326))),"")</f>
        <v>1.39</v>
      </c>
    </row>
    <row r="327" spans="1:2" x14ac:dyDescent="0.35">
      <c r="A327" cm="1">
        <f t="array" ref="A327">IFERROR(INDEX('Row Level Master Sheet'!$K$2:$K$1001,_xlfn.AGGREGATE(15,6,(ROW('Row Level Master Sheet'!$K$2:$K$1001)-ROW('Row Level Master Sheet'!$K$2)+1)/('Row Level Master Sheet'!$C$2:$C$1001="Digital"),ROWS($A$2:A327))),"")</f>
        <v>0.59999999999999987</v>
      </c>
      <c r="B327" s="39" cm="1">
        <f t="array" ref="B327">IFERROR(INDEX('Row Level Master Sheet'!$K$2:$K$1001,_xlfn.AGGREGATE(15,6,(ROW('Row Level Master Sheet'!$K$2:$K$1001)-ROW('Row Level Master Sheet'!$K$2)+1)/('Row Level Master Sheet'!$C$2:$C$1001="Traditional"),ROWS($B$2:B327))),"")</f>
        <v>1.3900000000000001</v>
      </c>
    </row>
    <row r="328" spans="1:2" x14ac:dyDescent="0.35">
      <c r="A328" cm="1">
        <f t="array" ref="A328">IFERROR(INDEX('Row Level Master Sheet'!$K$2:$K$1001,_xlfn.AGGREGATE(15,6,(ROW('Row Level Master Sheet'!$K$2:$K$1001)-ROW('Row Level Master Sheet'!$K$2)+1)/('Row Level Master Sheet'!$C$2:$C$1001="Digital"),ROWS($A$2:A328))),"")</f>
        <v>0.6</v>
      </c>
      <c r="B328" s="39" cm="1">
        <f t="array" ref="B328">IFERROR(INDEX('Row Level Master Sheet'!$K$2:$K$1001,_xlfn.AGGREGATE(15,6,(ROW('Row Level Master Sheet'!$K$2:$K$1001)-ROW('Row Level Master Sheet'!$K$2)+1)/('Row Level Master Sheet'!$C$2:$C$1001="Traditional"),ROWS($B$2:B328))),"")</f>
        <v>1.3900000000000001</v>
      </c>
    </row>
    <row r="329" spans="1:2" x14ac:dyDescent="0.35">
      <c r="A329" cm="1">
        <f t="array" ref="A329">IFERROR(INDEX('Row Level Master Sheet'!$K$2:$K$1001,_xlfn.AGGREGATE(15,6,(ROW('Row Level Master Sheet'!$K$2:$K$1001)-ROW('Row Level Master Sheet'!$K$2)+1)/('Row Level Master Sheet'!$C$2:$C$1001="Digital"),ROWS($A$2:A329))),"")</f>
        <v>0.60000000000000009</v>
      </c>
      <c r="B329" s="39" cm="1">
        <f t="array" ref="B329">IFERROR(INDEX('Row Level Master Sheet'!$K$2:$K$1001,_xlfn.AGGREGATE(15,6,(ROW('Row Level Master Sheet'!$K$2:$K$1001)-ROW('Row Level Master Sheet'!$K$2)+1)/('Row Level Master Sheet'!$C$2:$C$1001="Traditional"),ROWS($B$2:B329))),"")</f>
        <v>1.4000000000000001</v>
      </c>
    </row>
    <row r="330" spans="1:2" x14ac:dyDescent="0.35">
      <c r="A330" cm="1">
        <f t="array" ref="A330">IFERROR(INDEX('Row Level Master Sheet'!$K$2:$K$1001,_xlfn.AGGREGATE(15,6,(ROW('Row Level Master Sheet'!$K$2:$K$1001)-ROW('Row Level Master Sheet'!$K$2)+1)/('Row Level Master Sheet'!$C$2:$C$1001="Digital"),ROWS($A$2:A330))),"")</f>
        <v>0.60999999999999976</v>
      </c>
      <c r="B330" s="39" cm="1">
        <f t="array" ref="B330">IFERROR(INDEX('Row Level Master Sheet'!$K$2:$K$1001,_xlfn.AGGREGATE(15,6,(ROW('Row Level Master Sheet'!$K$2:$K$1001)-ROW('Row Level Master Sheet'!$K$2)+1)/('Row Level Master Sheet'!$C$2:$C$1001="Traditional"),ROWS($B$2:B330))),"")</f>
        <v>1.4100000000000001</v>
      </c>
    </row>
    <row r="331" spans="1:2" x14ac:dyDescent="0.35">
      <c r="A331" cm="1">
        <f t="array" ref="A331">IFERROR(INDEX('Row Level Master Sheet'!$K$2:$K$1001,_xlfn.AGGREGATE(15,6,(ROW('Row Level Master Sheet'!$K$2:$K$1001)-ROW('Row Level Master Sheet'!$K$2)+1)/('Row Level Master Sheet'!$C$2:$C$1001="Digital"),ROWS($A$2:A331))),"")</f>
        <v>0.61</v>
      </c>
      <c r="B331" s="39" cm="1">
        <f t="array" ref="B331">IFERROR(INDEX('Row Level Master Sheet'!$K$2:$K$1001,_xlfn.AGGREGATE(15,6,(ROW('Row Level Master Sheet'!$K$2:$K$1001)-ROW('Row Level Master Sheet'!$K$2)+1)/('Row Level Master Sheet'!$C$2:$C$1001="Traditional"),ROWS($B$2:B331))),"")</f>
        <v>1.4199999999999997</v>
      </c>
    </row>
    <row r="332" spans="1:2" x14ac:dyDescent="0.35">
      <c r="A332" cm="1">
        <f t="array" ref="A332">IFERROR(INDEX('Row Level Master Sheet'!$K$2:$K$1001,_xlfn.AGGREGATE(15,6,(ROW('Row Level Master Sheet'!$K$2:$K$1001)-ROW('Row Level Master Sheet'!$K$2)+1)/('Row Level Master Sheet'!$C$2:$C$1001="Digital"),ROWS($A$2:A332))),"")</f>
        <v>0.6100000000000001</v>
      </c>
      <c r="B332" s="39" cm="1">
        <f t="array" ref="B332">IFERROR(INDEX('Row Level Master Sheet'!$K$2:$K$1001,_xlfn.AGGREGATE(15,6,(ROW('Row Level Master Sheet'!$K$2:$K$1001)-ROW('Row Level Master Sheet'!$K$2)+1)/('Row Level Master Sheet'!$C$2:$C$1001="Traditional"),ROWS($B$2:B332))),"")</f>
        <v>1.4199999999999997</v>
      </c>
    </row>
    <row r="333" spans="1:2" x14ac:dyDescent="0.35">
      <c r="A333" cm="1">
        <f t="array" ref="A333">IFERROR(INDEX('Row Level Master Sheet'!$K$2:$K$1001,_xlfn.AGGREGATE(15,6,(ROW('Row Level Master Sheet'!$K$2:$K$1001)-ROW('Row Level Master Sheet'!$K$2)+1)/('Row Level Master Sheet'!$C$2:$C$1001="Digital"),ROWS($A$2:A333))),"")</f>
        <v>0.61000000000000021</v>
      </c>
      <c r="B333" s="39" cm="1">
        <f t="array" ref="B333">IFERROR(INDEX('Row Level Master Sheet'!$K$2:$K$1001,_xlfn.AGGREGATE(15,6,(ROW('Row Level Master Sheet'!$K$2:$K$1001)-ROW('Row Level Master Sheet'!$K$2)+1)/('Row Level Master Sheet'!$C$2:$C$1001="Traditional"),ROWS($B$2:B333))),"")</f>
        <v>1.4200000000000002</v>
      </c>
    </row>
    <row r="334" spans="1:2" x14ac:dyDescent="0.35">
      <c r="A334" cm="1">
        <f t="array" ref="A334">IFERROR(INDEX('Row Level Master Sheet'!$K$2:$K$1001,_xlfn.AGGREGATE(15,6,(ROW('Row Level Master Sheet'!$K$2:$K$1001)-ROW('Row Level Master Sheet'!$K$2)+1)/('Row Level Master Sheet'!$C$2:$C$1001="Digital"),ROWS($A$2:A334))),"")</f>
        <v>0.61999999999999977</v>
      </c>
      <c r="B334" s="39" cm="1">
        <f t="array" ref="B334">IFERROR(INDEX('Row Level Master Sheet'!$K$2:$K$1001,_xlfn.AGGREGATE(15,6,(ROW('Row Level Master Sheet'!$K$2:$K$1001)-ROW('Row Level Master Sheet'!$K$2)+1)/('Row Level Master Sheet'!$C$2:$C$1001="Traditional"),ROWS($B$2:B334))),"")</f>
        <v>1.44</v>
      </c>
    </row>
    <row r="335" spans="1:2" x14ac:dyDescent="0.35">
      <c r="A335" cm="1">
        <f t="array" ref="A335">IFERROR(INDEX('Row Level Master Sheet'!$K$2:$K$1001,_xlfn.AGGREGATE(15,6,(ROW('Row Level Master Sheet'!$K$2:$K$1001)-ROW('Row Level Master Sheet'!$K$2)+1)/('Row Level Master Sheet'!$C$2:$C$1001="Digital"),ROWS($A$2:A335))),"")</f>
        <v>0.62</v>
      </c>
      <c r="B335" s="39" cm="1">
        <f t="array" ref="B335">IFERROR(INDEX('Row Level Master Sheet'!$K$2:$K$1001,_xlfn.AGGREGATE(15,6,(ROW('Row Level Master Sheet'!$K$2:$K$1001)-ROW('Row Level Master Sheet'!$K$2)+1)/('Row Level Master Sheet'!$C$2:$C$1001="Traditional"),ROWS($B$2:B335))),"")</f>
        <v>1.4500000000000002</v>
      </c>
    </row>
    <row r="336" spans="1:2" x14ac:dyDescent="0.35">
      <c r="A336" cm="1">
        <f t="array" ref="A336">IFERROR(INDEX('Row Level Master Sheet'!$K$2:$K$1001,_xlfn.AGGREGATE(15,6,(ROW('Row Level Master Sheet'!$K$2:$K$1001)-ROW('Row Level Master Sheet'!$K$2)+1)/('Row Level Master Sheet'!$C$2:$C$1001="Digital"),ROWS($A$2:A336))),"")</f>
        <v>0.62</v>
      </c>
      <c r="B336" s="39" cm="1">
        <f t="array" ref="B336">IFERROR(INDEX('Row Level Master Sheet'!$K$2:$K$1001,_xlfn.AGGREGATE(15,6,(ROW('Row Level Master Sheet'!$K$2:$K$1001)-ROW('Row Level Master Sheet'!$K$2)+1)/('Row Level Master Sheet'!$C$2:$C$1001="Traditional"),ROWS($B$2:B336))),"")</f>
        <v>1.46</v>
      </c>
    </row>
    <row r="337" spans="1:2" x14ac:dyDescent="0.35">
      <c r="A337" cm="1">
        <f t="array" ref="A337">IFERROR(INDEX('Row Level Master Sheet'!$K$2:$K$1001,_xlfn.AGGREGATE(15,6,(ROW('Row Level Master Sheet'!$K$2:$K$1001)-ROW('Row Level Master Sheet'!$K$2)+1)/('Row Level Master Sheet'!$C$2:$C$1001="Digital"),ROWS($A$2:A337))),"")</f>
        <v>0.62</v>
      </c>
      <c r="B337" s="39" cm="1">
        <f t="array" ref="B337">IFERROR(INDEX('Row Level Master Sheet'!$K$2:$K$1001,_xlfn.AGGREGATE(15,6,(ROW('Row Level Master Sheet'!$K$2:$K$1001)-ROW('Row Level Master Sheet'!$K$2)+1)/('Row Level Master Sheet'!$C$2:$C$1001="Traditional"),ROWS($B$2:B337))),"")</f>
        <v>1.4799999999999998</v>
      </c>
    </row>
    <row r="338" spans="1:2" x14ac:dyDescent="0.35">
      <c r="A338" cm="1">
        <f t="array" ref="A338">IFERROR(INDEX('Row Level Master Sheet'!$K$2:$K$1001,_xlfn.AGGREGATE(15,6,(ROW('Row Level Master Sheet'!$K$2:$K$1001)-ROW('Row Level Master Sheet'!$K$2)+1)/('Row Level Master Sheet'!$C$2:$C$1001="Digital"),ROWS($A$2:A338))),"")</f>
        <v>0.62999999999999989</v>
      </c>
      <c r="B338" s="39" cm="1">
        <f t="array" ref="B338">IFERROR(INDEX('Row Level Master Sheet'!$K$2:$K$1001,_xlfn.AGGREGATE(15,6,(ROW('Row Level Master Sheet'!$K$2:$K$1001)-ROW('Row Level Master Sheet'!$K$2)+1)/('Row Level Master Sheet'!$C$2:$C$1001="Traditional"),ROWS($B$2:B338))),"")</f>
        <v>1.48</v>
      </c>
    </row>
    <row r="339" spans="1:2" x14ac:dyDescent="0.35">
      <c r="A339" cm="1">
        <f t="array" ref="A339">IFERROR(INDEX('Row Level Master Sheet'!$K$2:$K$1001,_xlfn.AGGREGATE(15,6,(ROW('Row Level Master Sheet'!$K$2:$K$1001)-ROW('Row Level Master Sheet'!$K$2)+1)/('Row Level Master Sheet'!$C$2:$C$1001="Digital"),ROWS($A$2:A339))),"")</f>
        <v>0.63</v>
      </c>
      <c r="B339" s="39" cm="1">
        <f t="array" ref="B339">IFERROR(INDEX('Row Level Master Sheet'!$K$2:$K$1001,_xlfn.AGGREGATE(15,6,(ROW('Row Level Master Sheet'!$K$2:$K$1001)-ROW('Row Level Master Sheet'!$K$2)+1)/('Row Level Master Sheet'!$C$2:$C$1001="Traditional"),ROWS($B$2:B339))),"")</f>
        <v>1.4899999999999998</v>
      </c>
    </row>
    <row r="340" spans="1:2" x14ac:dyDescent="0.35">
      <c r="A340" cm="1">
        <f t="array" ref="A340">IFERROR(INDEX('Row Level Master Sheet'!$K$2:$K$1001,_xlfn.AGGREGATE(15,6,(ROW('Row Level Master Sheet'!$K$2:$K$1001)-ROW('Row Level Master Sheet'!$K$2)+1)/('Row Level Master Sheet'!$C$2:$C$1001="Digital"),ROWS($A$2:A340))),"")</f>
        <v>0.63</v>
      </c>
      <c r="B340" s="39" cm="1">
        <f t="array" ref="B340">IFERROR(INDEX('Row Level Master Sheet'!$K$2:$K$1001,_xlfn.AGGREGATE(15,6,(ROW('Row Level Master Sheet'!$K$2:$K$1001)-ROW('Row Level Master Sheet'!$K$2)+1)/('Row Level Master Sheet'!$C$2:$C$1001="Traditional"),ROWS($B$2:B340))),"")</f>
        <v>1.4899999999999998</v>
      </c>
    </row>
    <row r="341" spans="1:2" x14ac:dyDescent="0.35">
      <c r="A341" cm="1">
        <f t="array" ref="A341">IFERROR(INDEX('Row Level Master Sheet'!$K$2:$K$1001,_xlfn.AGGREGATE(15,6,(ROW('Row Level Master Sheet'!$K$2:$K$1001)-ROW('Row Level Master Sheet'!$K$2)+1)/('Row Level Master Sheet'!$C$2:$C$1001="Digital"),ROWS($A$2:A341))),"")</f>
        <v>0.63000000000000012</v>
      </c>
      <c r="B341" s="39" cm="1">
        <f t="array" ref="B341">IFERROR(INDEX('Row Level Master Sheet'!$K$2:$K$1001,_xlfn.AGGREGATE(15,6,(ROW('Row Level Master Sheet'!$K$2:$K$1001)-ROW('Row Level Master Sheet'!$K$2)+1)/('Row Level Master Sheet'!$C$2:$C$1001="Traditional"),ROWS($B$2:B341))),"")</f>
        <v>1.4899999999999998</v>
      </c>
    </row>
    <row r="342" spans="1:2" x14ac:dyDescent="0.35">
      <c r="A342" cm="1">
        <f t="array" ref="A342">IFERROR(INDEX('Row Level Master Sheet'!$K$2:$K$1001,_xlfn.AGGREGATE(15,6,(ROW('Row Level Master Sheet'!$K$2:$K$1001)-ROW('Row Level Master Sheet'!$K$2)+1)/('Row Level Master Sheet'!$C$2:$C$1001="Digital"),ROWS($A$2:A342))),"")</f>
        <v>0.63000000000000012</v>
      </c>
      <c r="B342" s="39" cm="1">
        <f t="array" ref="B342">IFERROR(INDEX('Row Level Master Sheet'!$K$2:$K$1001,_xlfn.AGGREGATE(15,6,(ROW('Row Level Master Sheet'!$K$2:$K$1001)-ROW('Row Level Master Sheet'!$K$2)+1)/('Row Level Master Sheet'!$C$2:$C$1001="Traditional"),ROWS($B$2:B342))),"")</f>
        <v>1.49</v>
      </c>
    </row>
    <row r="343" spans="1:2" x14ac:dyDescent="0.35">
      <c r="A343" cm="1">
        <f t="array" ref="A343">IFERROR(INDEX('Row Level Master Sheet'!$K$2:$K$1001,_xlfn.AGGREGATE(15,6,(ROW('Row Level Master Sheet'!$K$2:$K$1001)-ROW('Row Level Master Sheet'!$K$2)+1)/('Row Level Master Sheet'!$C$2:$C$1001="Digital"),ROWS($A$2:A343))),"")</f>
        <v>0.63000000000000012</v>
      </c>
      <c r="B343" s="39" cm="1">
        <f t="array" ref="B343">IFERROR(INDEX('Row Level Master Sheet'!$K$2:$K$1001,_xlfn.AGGREGATE(15,6,(ROW('Row Level Master Sheet'!$K$2:$K$1001)-ROW('Row Level Master Sheet'!$K$2)+1)/('Row Level Master Sheet'!$C$2:$C$1001="Traditional"),ROWS($B$2:B343))),"")</f>
        <v>1.49</v>
      </c>
    </row>
    <row r="344" spans="1:2" x14ac:dyDescent="0.35">
      <c r="A344" cm="1">
        <f t="array" ref="A344">IFERROR(INDEX('Row Level Master Sheet'!$K$2:$K$1001,_xlfn.AGGREGATE(15,6,(ROW('Row Level Master Sheet'!$K$2:$K$1001)-ROW('Row Level Master Sheet'!$K$2)+1)/('Row Level Master Sheet'!$C$2:$C$1001="Digital"),ROWS($A$2:A344))),"")</f>
        <v>0.6399999999999999</v>
      </c>
      <c r="B344" s="39" cm="1">
        <f t="array" ref="B344">IFERROR(INDEX('Row Level Master Sheet'!$K$2:$K$1001,_xlfn.AGGREGATE(15,6,(ROW('Row Level Master Sheet'!$K$2:$K$1001)-ROW('Row Level Master Sheet'!$K$2)+1)/('Row Level Master Sheet'!$C$2:$C$1001="Traditional"),ROWS($B$2:B344))),"")</f>
        <v>1.49</v>
      </c>
    </row>
    <row r="345" spans="1:2" x14ac:dyDescent="0.35">
      <c r="A345" cm="1">
        <f t="array" ref="A345">IFERROR(INDEX('Row Level Master Sheet'!$K$2:$K$1001,_xlfn.AGGREGATE(15,6,(ROW('Row Level Master Sheet'!$K$2:$K$1001)-ROW('Row Level Master Sheet'!$K$2)+1)/('Row Level Master Sheet'!$C$2:$C$1001="Digital"),ROWS($A$2:A345))),"")</f>
        <v>0.6499999999999998</v>
      </c>
      <c r="B345" s="39" cm="1">
        <f t="array" ref="B345">IFERROR(INDEX('Row Level Master Sheet'!$K$2:$K$1001,_xlfn.AGGREGATE(15,6,(ROW('Row Level Master Sheet'!$K$2:$K$1001)-ROW('Row Level Master Sheet'!$K$2)+1)/('Row Level Master Sheet'!$C$2:$C$1001="Traditional"),ROWS($B$2:B345))),"")</f>
        <v>1.5</v>
      </c>
    </row>
    <row r="346" spans="1:2" x14ac:dyDescent="0.35">
      <c r="A346" cm="1">
        <f t="array" ref="A346">IFERROR(INDEX('Row Level Master Sheet'!$K$2:$K$1001,_xlfn.AGGREGATE(15,6,(ROW('Row Level Master Sheet'!$K$2:$K$1001)-ROW('Row Level Master Sheet'!$K$2)+1)/('Row Level Master Sheet'!$C$2:$C$1001="Digital"),ROWS($A$2:A346))),"")</f>
        <v>0.6499999999999998</v>
      </c>
      <c r="B346" s="39" cm="1">
        <f t="array" ref="B346">IFERROR(INDEX('Row Level Master Sheet'!$K$2:$K$1001,_xlfn.AGGREGATE(15,6,(ROW('Row Level Master Sheet'!$K$2:$K$1001)-ROW('Row Level Master Sheet'!$K$2)+1)/('Row Level Master Sheet'!$C$2:$C$1001="Traditional"),ROWS($B$2:B346))),"")</f>
        <v>1.5000000000000002</v>
      </c>
    </row>
    <row r="347" spans="1:2" x14ac:dyDescent="0.35">
      <c r="A347" cm="1">
        <f t="array" ref="A347">IFERROR(INDEX('Row Level Master Sheet'!$K$2:$K$1001,_xlfn.AGGREGATE(15,6,(ROW('Row Level Master Sheet'!$K$2:$K$1001)-ROW('Row Level Master Sheet'!$K$2)+1)/('Row Level Master Sheet'!$C$2:$C$1001="Digital"),ROWS($A$2:A347))),"")</f>
        <v>0.64999999999999991</v>
      </c>
      <c r="B347" s="39" t="str" cm="1">
        <f t="array" ref="B347">IFERROR(INDEX('Row Level Master Sheet'!$K$2:$K$1001,_xlfn.AGGREGATE(15,6,(ROW('Row Level Master Sheet'!$K$2:$K$1001)-ROW('Row Level Master Sheet'!$K$2)+1)/('Row Level Master Sheet'!$C$2:$C$1001="Traditional"),ROWS($B$2:B347))),"")</f>
        <v/>
      </c>
    </row>
    <row r="348" spans="1:2" x14ac:dyDescent="0.35">
      <c r="A348" cm="1">
        <f t="array" ref="A348">IFERROR(INDEX('Row Level Master Sheet'!$K$2:$K$1001,_xlfn.AGGREGATE(15,6,(ROW('Row Level Master Sheet'!$K$2:$K$1001)-ROW('Row Level Master Sheet'!$K$2)+1)/('Row Level Master Sheet'!$C$2:$C$1001="Digital"),ROWS($A$2:A348))),"")</f>
        <v>0.65000000000000013</v>
      </c>
      <c r="B348" s="39" t="str" cm="1">
        <f t="array" ref="B348">IFERROR(INDEX('Row Level Master Sheet'!$K$2:$K$1001,_xlfn.AGGREGATE(15,6,(ROW('Row Level Master Sheet'!$K$2:$K$1001)-ROW('Row Level Master Sheet'!$K$2)+1)/('Row Level Master Sheet'!$C$2:$C$1001="Traditional"),ROWS($B$2:B348))),"")</f>
        <v/>
      </c>
    </row>
    <row r="349" spans="1:2" x14ac:dyDescent="0.35">
      <c r="A349" cm="1">
        <f t="array" ref="A349">IFERROR(INDEX('Row Level Master Sheet'!$K$2:$K$1001,_xlfn.AGGREGATE(15,6,(ROW('Row Level Master Sheet'!$K$2:$K$1001)-ROW('Row Level Master Sheet'!$K$2)+1)/('Row Level Master Sheet'!$C$2:$C$1001="Digital"),ROWS($A$2:A349))),"")</f>
        <v>0.65000000000000013</v>
      </c>
      <c r="B349" s="39" t="str" cm="1">
        <f t="array" ref="B349">IFERROR(INDEX('Row Level Master Sheet'!$K$2:$K$1001,_xlfn.AGGREGATE(15,6,(ROW('Row Level Master Sheet'!$K$2:$K$1001)-ROW('Row Level Master Sheet'!$K$2)+1)/('Row Level Master Sheet'!$C$2:$C$1001="Traditional"),ROWS($B$2:B349))),"")</f>
        <v/>
      </c>
    </row>
    <row r="350" spans="1:2" x14ac:dyDescent="0.35">
      <c r="A350" cm="1">
        <f t="array" ref="A350">IFERROR(INDEX('Row Level Master Sheet'!$K$2:$K$1001,_xlfn.AGGREGATE(15,6,(ROW('Row Level Master Sheet'!$K$2:$K$1001)-ROW('Row Level Master Sheet'!$K$2)+1)/('Row Level Master Sheet'!$C$2:$C$1001="Digital"),ROWS($A$2:A350))),"")</f>
        <v>0.65999999999999992</v>
      </c>
      <c r="B350" s="39" t="str" cm="1">
        <f t="array" ref="B350">IFERROR(INDEX('Row Level Master Sheet'!$K$2:$K$1001,_xlfn.AGGREGATE(15,6,(ROW('Row Level Master Sheet'!$K$2:$K$1001)-ROW('Row Level Master Sheet'!$K$2)+1)/('Row Level Master Sheet'!$C$2:$C$1001="Traditional"),ROWS($B$2:B350))),"")</f>
        <v/>
      </c>
    </row>
    <row r="351" spans="1:2" x14ac:dyDescent="0.35">
      <c r="A351" cm="1">
        <f t="array" ref="A351">IFERROR(INDEX('Row Level Master Sheet'!$K$2:$K$1001,_xlfn.AGGREGATE(15,6,(ROW('Row Level Master Sheet'!$K$2:$K$1001)-ROW('Row Level Master Sheet'!$K$2)+1)/('Row Level Master Sheet'!$C$2:$C$1001="Digital"),ROWS($A$2:A351))),"")</f>
        <v>0.65999999999999992</v>
      </c>
      <c r="B351" s="39" t="str" cm="1">
        <f t="array" ref="B351">IFERROR(INDEX('Row Level Master Sheet'!$K$2:$K$1001,_xlfn.AGGREGATE(15,6,(ROW('Row Level Master Sheet'!$K$2:$K$1001)-ROW('Row Level Master Sheet'!$K$2)+1)/('Row Level Master Sheet'!$C$2:$C$1001="Traditional"),ROWS($B$2:B351))),"")</f>
        <v/>
      </c>
    </row>
    <row r="352" spans="1:2" x14ac:dyDescent="0.35">
      <c r="A352" cm="1">
        <f t="array" ref="A352">IFERROR(INDEX('Row Level Master Sheet'!$K$2:$K$1001,_xlfn.AGGREGATE(15,6,(ROW('Row Level Master Sheet'!$K$2:$K$1001)-ROW('Row Level Master Sheet'!$K$2)+1)/('Row Level Master Sheet'!$C$2:$C$1001="Digital"),ROWS($A$2:A352))),"")</f>
        <v>0.66</v>
      </c>
      <c r="B352" s="39" t="str" cm="1">
        <f t="array" ref="B352">IFERROR(INDEX('Row Level Master Sheet'!$K$2:$K$1001,_xlfn.AGGREGATE(15,6,(ROW('Row Level Master Sheet'!$K$2:$K$1001)-ROW('Row Level Master Sheet'!$K$2)+1)/('Row Level Master Sheet'!$C$2:$C$1001="Traditional"),ROWS($B$2:B352))),"")</f>
        <v/>
      </c>
    </row>
    <row r="353" spans="1:2" x14ac:dyDescent="0.35">
      <c r="A353" cm="1">
        <f t="array" ref="A353">IFERROR(INDEX('Row Level Master Sheet'!$K$2:$K$1001,_xlfn.AGGREGATE(15,6,(ROW('Row Level Master Sheet'!$K$2:$K$1001)-ROW('Row Level Master Sheet'!$K$2)+1)/('Row Level Master Sheet'!$C$2:$C$1001="Digital"),ROWS($A$2:A353))),"")</f>
        <v>0.66</v>
      </c>
      <c r="B353" s="39" t="str" cm="1">
        <f t="array" ref="B353">IFERROR(INDEX('Row Level Master Sheet'!$K$2:$K$1001,_xlfn.AGGREGATE(15,6,(ROW('Row Level Master Sheet'!$K$2:$K$1001)-ROW('Row Level Master Sheet'!$K$2)+1)/('Row Level Master Sheet'!$C$2:$C$1001="Traditional"),ROWS($B$2:B353))),"")</f>
        <v/>
      </c>
    </row>
    <row r="354" spans="1:2" x14ac:dyDescent="0.35">
      <c r="A354" cm="1">
        <f t="array" ref="A354">IFERROR(INDEX('Row Level Master Sheet'!$K$2:$K$1001,_xlfn.AGGREGATE(15,6,(ROW('Row Level Master Sheet'!$K$2:$K$1001)-ROW('Row Level Master Sheet'!$K$2)+1)/('Row Level Master Sheet'!$C$2:$C$1001="Digital"),ROWS($A$2:A354))),"")</f>
        <v>0.66</v>
      </c>
      <c r="B354" s="39" t="str" cm="1">
        <f t="array" ref="B354">IFERROR(INDEX('Row Level Master Sheet'!$K$2:$K$1001,_xlfn.AGGREGATE(15,6,(ROW('Row Level Master Sheet'!$K$2:$K$1001)-ROW('Row Level Master Sheet'!$K$2)+1)/('Row Level Master Sheet'!$C$2:$C$1001="Traditional"),ROWS($B$2:B354))),"")</f>
        <v/>
      </c>
    </row>
    <row r="355" spans="1:2" x14ac:dyDescent="0.35">
      <c r="A355" cm="1">
        <f t="array" ref="A355">IFERROR(INDEX('Row Level Master Sheet'!$K$2:$K$1001,_xlfn.AGGREGATE(15,6,(ROW('Row Level Master Sheet'!$K$2:$K$1001)-ROW('Row Level Master Sheet'!$K$2)+1)/('Row Level Master Sheet'!$C$2:$C$1001="Digital"),ROWS($A$2:A355))),"")</f>
        <v>0.66000000000000014</v>
      </c>
      <c r="B355" s="39" t="str" cm="1">
        <f t="array" ref="B355">IFERROR(INDEX('Row Level Master Sheet'!$K$2:$K$1001,_xlfn.AGGREGATE(15,6,(ROW('Row Level Master Sheet'!$K$2:$K$1001)-ROW('Row Level Master Sheet'!$K$2)+1)/('Row Level Master Sheet'!$C$2:$C$1001="Traditional"),ROWS($B$2:B355))),"")</f>
        <v/>
      </c>
    </row>
    <row r="356" spans="1:2" x14ac:dyDescent="0.35">
      <c r="A356" cm="1">
        <f t="array" ref="A356">IFERROR(INDEX('Row Level Master Sheet'!$K$2:$K$1001,_xlfn.AGGREGATE(15,6,(ROW('Row Level Master Sheet'!$K$2:$K$1001)-ROW('Row Level Master Sheet'!$K$2)+1)/('Row Level Master Sheet'!$C$2:$C$1001="Digital"),ROWS($A$2:A356))),"")</f>
        <v>0.66999999999999982</v>
      </c>
      <c r="B356" s="39" t="str" cm="1">
        <f t="array" ref="B356">IFERROR(INDEX('Row Level Master Sheet'!$K$2:$K$1001,_xlfn.AGGREGATE(15,6,(ROW('Row Level Master Sheet'!$K$2:$K$1001)-ROW('Row Level Master Sheet'!$K$2)+1)/('Row Level Master Sheet'!$C$2:$C$1001="Traditional"),ROWS($B$2:B356))),"")</f>
        <v/>
      </c>
    </row>
    <row r="357" spans="1:2" x14ac:dyDescent="0.35">
      <c r="A357" cm="1">
        <f t="array" ref="A357">IFERROR(INDEX('Row Level Master Sheet'!$K$2:$K$1001,_xlfn.AGGREGATE(15,6,(ROW('Row Level Master Sheet'!$K$2:$K$1001)-ROW('Row Level Master Sheet'!$K$2)+1)/('Row Level Master Sheet'!$C$2:$C$1001="Digital"),ROWS($A$2:A357))),"")</f>
        <v>0.66999999999999993</v>
      </c>
      <c r="B357" s="39" t="str" cm="1">
        <f t="array" ref="B357">IFERROR(INDEX('Row Level Master Sheet'!$K$2:$K$1001,_xlfn.AGGREGATE(15,6,(ROW('Row Level Master Sheet'!$K$2:$K$1001)-ROW('Row Level Master Sheet'!$K$2)+1)/('Row Level Master Sheet'!$C$2:$C$1001="Traditional"),ROWS($B$2:B357))),"")</f>
        <v/>
      </c>
    </row>
    <row r="358" spans="1:2" x14ac:dyDescent="0.35">
      <c r="A358" cm="1">
        <f t="array" ref="A358">IFERROR(INDEX('Row Level Master Sheet'!$K$2:$K$1001,_xlfn.AGGREGATE(15,6,(ROW('Row Level Master Sheet'!$K$2:$K$1001)-ROW('Row Level Master Sheet'!$K$2)+1)/('Row Level Master Sheet'!$C$2:$C$1001="Digital"),ROWS($A$2:A358))),"")</f>
        <v>0.66999999999999993</v>
      </c>
      <c r="B358" s="39" t="str" cm="1">
        <f t="array" ref="B358">IFERROR(INDEX('Row Level Master Sheet'!$K$2:$K$1001,_xlfn.AGGREGATE(15,6,(ROW('Row Level Master Sheet'!$K$2:$K$1001)-ROW('Row Level Master Sheet'!$K$2)+1)/('Row Level Master Sheet'!$C$2:$C$1001="Traditional"),ROWS($B$2:B358))),"")</f>
        <v/>
      </c>
    </row>
    <row r="359" spans="1:2" x14ac:dyDescent="0.35">
      <c r="A359" cm="1">
        <f t="array" ref="A359">IFERROR(INDEX('Row Level Master Sheet'!$K$2:$K$1001,_xlfn.AGGREGATE(15,6,(ROW('Row Level Master Sheet'!$K$2:$K$1001)-ROW('Row Level Master Sheet'!$K$2)+1)/('Row Level Master Sheet'!$C$2:$C$1001="Digital"),ROWS($A$2:A359))),"")</f>
        <v>0.67</v>
      </c>
      <c r="B359" s="39" t="str" cm="1">
        <f t="array" ref="B359">IFERROR(INDEX('Row Level Master Sheet'!$K$2:$K$1001,_xlfn.AGGREGATE(15,6,(ROW('Row Level Master Sheet'!$K$2:$K$1001)-ROW('Row Level Master Sheet'!$K$2)+1)/('Row Level Master Sheet'!$C$2:$C$1001="Traditional"),ROWS($B$2:B359))),"")</f>
        <v/>
      </c>
    </row>
    <row r="360" spans="1:2" x14ac:dyDescent="0.35">
      <c r="A360" cm="1">
        <f t="array" ref="A360">IFERROR(INDEX('Row Level Master Sheet'!$K$2:$K$1001,_xlfn.AGGREGATE(15,6,(ROW('Row Level Master Sheet'!$K$2:$K$1001)-ROW('Row Level Master Sheet'!$K$2)+1)/('Row Level Master Sheet'!$C$2:$C$1001="Digital"),ROWS($A$2:A360))),"")</f>
        <v>0.67</v>
      </c>
      <c r="B360" s="39" t="str" cm="1">
        <f t="array" ref="B360">IFERROR(INDEX('Row Level Master Sheet'!$K$2:$K$1001,_xlfn.AGGREGATE(15,6,(ROW('Row Level Master Sheet'!$K$2:$K$1001)-ROW('Row Level Master Sheet'!$K$2)+1)/('Row Level Master Sheet'!$C$2:$C$1001="Traditional"),ROWS($B$2:B360))),"")</f>
        <v/>
      </c>
    </row>
    <row r="361" spans="1:2" x14ac:dyDescent="0.35">
      <c r="A361" cm="1">
        <f t="array" ref="A361">IFERROR(INDEX('Row Level Master Sheet'!$K$2:$K$1001,_xlfn.AGGREGATE(15,6,(ROW('Row Level Master Sheet'!$K$2:$K$1001)-ROW('Row Level Master Sheet'!$K$2)+1)/('Row Level Master Sheet'!$C$2:$C$1001="Digital"),ROWS($A$2:A361))),"")</f>
        <v>0.67</v>
      </c>
      <c r="B361" s="39" t="str" cm="1">
        <f t="array" ref="B361">IFERROR(INDEX('Row Level Master Sheet'!$K$2:$K$1001,_xlfn.AGGREGATE(15,6,(ROW('Row Level Master Sheet'!$K$2:$K$1001)-ROW('Row Level Master Sheet'!$K$2)+1)/('Row Level Master Sheet'!$C$2:$C$1001="Traditional"),ROWS($B$2:B361))),"")</f>
        <v/>
      </c>
    </row>
    <row r="362" spans="1:2" x14ac:dyDescent="0.35">
      <c r="A362" cm="1">
        <f t="array" ref="A362">IFERROR(INDEX('Row Level Master Sheet'!$K$2:$K$1001,_xlfn.AGGREGATE(15,6,(ROW('Row Level Master Sheet'!$K$2:$K$1001)-ROW('Row Level Master Sheet'!$K$2)+1)/('Row Level Master Sheet'!$C$2:$C$1001="Digital"),ROWS($A$2:A362))),"")</f>
        <v>0.67999999999999972</v>
      </c>
      <c r="B362" s="39" t="str" cm="1">
        <f t="array" ref="B362">IFERROR(INDEX('Row Level Master Sheet'!$K$2:$K$1001,_xlfn.AGGREGATE(15,6,(ROW('Row Level Master Sheet'!$K$2:$K$1001)-ROW('Row Level Master Sheet'!$K$2)+1)/('Row Level Master Sheet'!$C$2:$C$1001="Traditional"),ROWS($B$2:B362))),"")</f>
        <v/>
      </c>
    </row>
    <row r="363" spans="1:2" x14ac:dyDescent="0.35">
      <c r="A363" cm="1">
        <f t="array" ref="A363">IFERROR(INDEX('Row Level Master Sheet'!$K$2:$K$1001,_xlfn.AGGREGATE(15,6,(ROW('Row Level Master Sheet'!$K$2:$K$1001)-ROW('Row Level Master Sheet'!$K$2)+1)/('Row Level Master Sheet'!$C$2:$C$1001="Digital"),ROWS($A$2:A363))),"")</f>
        <v>0.68</v>
      </c>
      <c r="B363" s="39" t="str" cm="1">
        <f t="array" ref="B363">IFERROR(INDEX('Row Level Master Sheet'!$K$2:$K$1001,_xlfn.AGGREGATE(15,6,(ROW('Row Level Master Sheet'!$K$2:$K$1001)-ROW('Row Level Master Sheet'!$K$2)+1)/('Row Level Master Sheet'!$C$2:$C$1001="Traditional"),ROWS($B$2:B363))),"")</f>
        <v/>
      </c>
    </row>
    <row r="364" spans="1:2" x14ac:dyDescent="0.35">
      <c r="A364" cm="1">
        <f t="array" ref="A364">IFERROR(INDEX('Row Level Master Sheet'!$K$2:$K$1001,_xlfn.AGGREGATE(15,6,(ROW('Row Level Master Sheet'!$K$2:$K$1001)-ROW('Row Level Master Sheet'!$K$2)+1)/('Row Level Master Sheet'!$C$2:$C$1001="Digital"),ROWS($A$2:A364))),"")</f>
        <v>0.68</v>
      </c>
      <c r="B364" s="39" t="str" cm="1">
        <f t="array" ref="B364">IFERROR(INDEX('Row Level Master Sheet'!$K$2:$K$1001,_xlfn.AGGREGATE(15,6,(ROW('Row Level Master Sheet'!$K$2:$K$1001)-ROW('Row Level Master Sheet'!$K$2)+1)/('Row Level Master Sheet'!$C$2:$C$1001="Traditional"),ROWS($B$2:B364))),"")</f>
        <v/>
      </c>
    </row>
    <row r="365" spans="1:2" x14ac:dyDescent="0.35">
      <c r="A365" cm="1">
        <f t="array" ref="A365">IFERROR(INDEX('Row Level Master Sheet'!$K$2:$K$1001,_xlfn.AGGREGATE(15,6,(ROW('Row Level Master Sheet'!$K$2:$K$1001)-ROW('Row Level Master Sheet'!$K$2)+1)/('Row Level Master Sheet'!$C$2:$C$1001="Digital"),ROWS($A$2:A365))),"")</f>
        <v>0.68000000000000016</v>
      </c>
      <c r="B365" s="39" t="str" cm="1">
        <f t="array" ref="B365">IFERROR(INDEX('Row Level Master Sheet'!$K$2:$K$1001,_xlfn.AGGREGATE(15,6,(ROW('Row Level Master Sheet'!$K$2:$K$1001)-ROW('Row Level Master Sheet'!$K$2)+1)/('Row Level Master Sheet'!$C$2:$C$1001="Traditional"),ROWS($B$2:B365))),"")</f>
        <v/>
      </c>
    </row>
    <row r="366" spans="1:2" x14ac:dyDescent="0.35">
      <c r="A366" cm="1">
        <f t="array" ref="A366">IFERROR(INDEX('Row Level Master Sheet'!$K$2:$K$1001,_xlfn.AGGREGATE(15,6,(ROW('Row Level Master Sheet'!$K$2:$K$1001)-ROW('Row Level Master Sheet'!$K$2)+1)/('Row Level Master Sheet'!$C$2:$C$1001="Digital"),ROWS($A$2:A366))),"")</f>
        <v>0.68000000000000016</v>
      </c>
      <c r="B366" s="39" t="str" cm="1">
        <f t="array" ref="B366">IFERROR(INDEX('Row Level Master Sheet'!$K$2:$K$1001,_xlfn.AGGREGATE(15,6,(ROW('Row Level Master Sheet'!$K$2:$K$1001)-ROW('Row Level Master Sheet'!$K$2)+1)/('Row Level Master Sheet'!$C$2:$C$1001="Traditional"),ROWS($B$2:B366))),"")</f>
        <v/>
      </c>
    </row>
    <row r="367" spans="1:2" x14ac:dyDescent="0.35">
      <c r="A367" cm="1">
        <f t="array" ref="A367">IFERROR(INDEX('Row Level Master Sheet'!$K$2:$K$1001,_xlfn.AGGREGATE(15,6,(ROW('Row Level Master Sheet'!$K$2:$K$1001)-ROW('Row Level Master Sheet'!$K$2)+1)/('Row Level Master Sheet'!$C$2:$C$1001="Digital"),ROWS($A$2:A367))),"")</f>
        <v>0.68999999999999984</v>
      </c>
      <c r="B367" s="39" t="str" cm="1">
        <f t="array" ref="B367">IFERROR(INDEX('Row Level Master Sheet'!$K$2:$K$1001,_xlfn.AGGREGATE(15,6,(ROW('Row Level Master Sheet'!$K$2:$K$1001)-ROW('Row Level Master Sheet'!$K$2)+1)/('Row Level Master Sheet'!$C$2:$C$1001="Traditional"),ROWS($B$2:B367))),"")</f>
        <v/>
      </c>
    </row>
    <row r="368" spans="1:2" x14ac:dyDescent="0.35">
      <c r="A368" cm="1">
        <f t="array" ref="A368">IFERROR(INDEX('Row Level Master Sheet'!$K$2:$K$1001,_xlfn.AGGREGATE(15,6,(ROW('Row Level Master Sheet'!$K$2:$K$1001)-ROW('Row Level Master Sheet'!$K$2)+1)/('Row Level Master Sheet'!$C$2:$C$1001="Digital"),ROWS($A$2:A368))),"")</f>
        <v>0.69</v>
      </c>
      <c r="B368" s="39" t="str" cm="1">
        <f t="array" ref="B368">IFERROR(INDEX('Row Level Master Sheet'!$K$2:$K$1001,_xlfn.AGGREGATE(15,6,(ROW('Row Level Master Sheet'!$K$2:$K$1001)-ROW('Row Level Master Sheet'!$K$2)+1)/('Row Level Master Sheet'!$C$2:$C$1001="Traditional"),ROWS($B$2:B368))),"")</f>
        <v/>
      </c>
    </row>
    <row r="369" spans="1:2" x14ac:dyDescent="0.35">
      <c r="A369" cm="1">
        <f t="array" ref="A369">IFERROR(INDEX('Row Level Master Sheet'!$K$2:$K$1001,_xlfn.AGGREGATE(15,6,(ROW('Row Level Master Sheet'!$K$2:$K$1001)-ROW('Row Level Master Sheet'!$K$2)+1)/('Row Level Master Sheet'!$C$2:$C$1001="Digital"),ROWS($A$2:A369))),"")</f>
        <v>0.69</v>
      </c>
      <c r="B369" s="39" t="str" cm="1">
        <f t="array" ref="B369">IFERROR(INDEX('Row Level Master Sheet'!$K$2:$K$1001,_xlfn.AGGREGATE(15,6,(ROW('Row Level Master Sheet'!$K$2:$K$1001)-ROW('Row Level Master Sheet'!$K$2)+1)/('Row Level Master Sheet'!$C$2:$C$1001="Traditional"),ROWS($B$2:B369))),"")</f>
        <v/>
      </c>
    </row>
    <row r="370" spans="1:2" x14ac:dyDescent="0.35">
      <c r="A370" cm="1">
        <f t="array" ref="A370">IFERROR(INDEX('Row Level Master Sheet'!$K$2:$K$1001,_xlfn.AGGREGATE(15,6,(ROW('Row Level Master Sheet'!$K$2:$K$1001)-ROW('Row Level Master Sheet'!$K$2)+1)/('Row Level Master Sheet'!$C$2:$C$1001="Digital"),ROWS($A$2:A370))),"")</f>
        <v>0.69000000000000017</v>
      </c>
      <c r="B370" s="39" t="str" cm="1">
        <f t="array" ref="B370">IFERROR(INDEX('Row Level Master Sheet'!$K$2:$K$1001,_xlfn.AGGREGATE(15,6,(ROW('Row Level Master Sheet'!$K$2:$K$1001)-ROW('Row Level Master Sheet'!$K$2)+1)/('Row Level Master Sheet'!$C$2:$C$1001="Traditional"),ROWS($B$2:B370))),"")</f>
        <v/>
      </c>
    </row>
    <row r="371" spans="1:2" x14ac:dyDescent="0.35">
      <c r="A371" cm="1">
        <f t="array" ref="A371">IFERROR(INDEX('Row Level Master Sheet'!$K$2:$K$1001,_xlfn.AGGREGATE(15,6,(ROW('Row Level Master Sheet'!$K$2:$K$1001)-ROW('Row Level Master Sheet'!$K$2)+1)/('Row Level Master Sheet'!$C$2:$C$1001="Digital"),ROWS($A$2:A371))),"")</f>
        <v>0.69999999999999984</v>
      </c>
      <c r="B371" s="39" t="str" cm="1">
        <f t="array" ref="B371">IFERROR(INDEX('Row Level Master Sheet'!$K$2:$K$1001,_xlfn.AGGREGATE(15,6,(ROW('Row Level Master Sheet'!$K$2:$K$1001)-ROW('Row Level Master Sheet'!$K$2)+1)/('Row Level Master Sheet'!$C$2:$C$1001="Traditional"),ROWS($B$2:B371))),"")</f>
        <v/>
      </c>
    </row>
    <row r="372" spans="1:2" x14ac:dyDescent="0.35">
      <c r="A372" cm="1">
        <f t="array" ref="A372">IFERROR(INDEX('Row Level Master Sheet'!$K$2:$K$1001,_xlfn.AGGREGATE(15,6,(ROW('Row Level Master Sheet'!$K$2:$K$1001)-ROW('Row Level Master Sheet'!$K$2)+1)/('Row Level Master Sheet'!$C$2:$C$1001="Digital"),ROWS($A$2:A372))),"")</f>
        <v>0.69999999999999984</v>
      </c>
      <c r="B372" s="39" t="str" cm="1">
        <f t="array" ref="B372">IFERROR(INDEX('Row Level Master Sheet'!$K$2:$K$1001,_xlfn.AGGREGATE(15,6,(ROW('Row Level Master Sheet'!$K$2:$K$1001)-ROW('Row Level Master Sheet'!$K$2)+1)/('Row Level Master Sheet'!$C$2:$C$1001="Traditional"),ROWS($B$2:B372))),"")</f>
        <v/>
      </c>
    </row>
    <row r="373" spans="1:2" x14ac:dyDescent="0.35">
      <c r="A373" cm="1">
        <f t="array" ref="A373">IFERROR(INDEX('Row Level Master Sheet'!$K$2:$K$1001,_xlfn.AGGREGATE(15,6,(ROW('Row Level Master Sheet'!$K$2:$K$1001)-ROW('Row Level Master Sheet'!$K$2)+1)/('Row Level Master Sheet'!$C$2:$C$1001="Digital"),ROWS($A$2:A373))),"")</f>
        <v>0.69999999999999984</v>
      </c>
      <c r="B373" s="39" t="str" cm="1">
        <f t="array" ref="B373">IFERROR(INDEX('Row Level Master Sheet'!$K$2:$K$1001,_xlfn.AGGREGATE(15,6,(ROW('Row Level Master Sheet'!$K$2:$K$1001)-ROW('Row Level Master Sheet'!$K$2)+1)/('Row Level Master Sheet'!$C$2:$C$1001="Traditional"),ROWS($B$2:B373))),"")</f>
        <v/>
      </c>
    </row>
    <row r="374" spans="1:2" x14ac:dyDescent="0.35">
      <c r="A374" cm="1">
        <f t="array" ref="A374">IFERROR(INDEX('Row Level Master Sheet'!$K$2:$K$1001,_xlfn.AGGREGATE(15,6,(ROW('Row Level Master Sheet'!$K$2:$K$1001)-ROW('Row Level Master Sheet'!$K$2)+1)/('Row Level Master Sheet'!$C$2:$C$1001="Digital"),ROWS($A$2:A374))),"")</f>
        <v>0.7</v>
      </c>
      <c r="B374" s="39" t="str" cm="1">
        <f t="array" ref="B374">IFERROR(INDEX('Row Level Master Sheet'!$K$2:$K$1001,_xlfn.AGGREGATE(15,6,(ROW('Row Level Master Sheet'!$K$2:$K$1001)-ROW('Row Level Master Sheet'!$K$2)+1)/('Row Level Master Sheet'!$C$2:$C$1001="Traditional"),ROWS($B$2:B374))),"")</f>
        <v/>
      </c>
    </row>
    <row r="375" spans="1:2" x14ac:dyDescent="0.35">
      <c r="A375" cm="1">
        <f t="array" ref="A375">IFERROR(INDEX('Row Level Master Sheet'!$K$2:$K$1001,_xlfn.AGGREGATE(15,6,(ROW('Row Level Master Sheet'!$K$2:$K$1001)-ROW('Row Level Master Sheet'!$K$2)+1)/('Row Level Master Sheet'!$C$2:$C$1001="Digital"),ROWS($A$2:A375))),"")</f>
        <v>0.7</v>
      </c>
      <c r="B375" s="39" t="str" cm="1">
        <f t="array" ref="B375">IFERROR(INDEX('Row Level Master Sheet'!$K$2:$K$1001,_xlfn.AGGREGATE(15,6,(ROW('Row Level Master Sheet'!$K$2:$K$1001)-ROW('Row Level Master Sheet'!$K$2)+1)/('Row Level Master Sheet'!$C$2:$C$1001="Traditional"),ROWS($B$2:B375))),"")</f>
        <v/>
      </c>
    </row>
    <row r="376" spans="1:2" x14ac:dyDescent="0.35">
      <c r="A376" cm="1">
        <f t="array" ref="A376">IFERROR(INDEX('Row Level Master Sheet'!$K$2:$K$1001,_xlfn.AGGREGATE(15,6,(ROW('Row Level Master Sheet'!$K$2:$K$1001)-ROW('Row Level Master Sheet'!$K$2)+1)/('Row Level Master Sheet'!$C$2:$C$1001="Digital"),ROWS($A$2:A376))),"")</f>
        <v>0.70000000000000018</v>
      </c>
      <c r="B376" s="39" t="str" cm="1">
        <f t="array" ref="B376">IFERROR(INDEX('Row Level Master Sheet'!$K$2:$K$1001,_xlfn.AGGREGATE(15,6,(ROW('Row Level Master Sheet'!$K$2:$K$1001)-ROW('Row Level Master Sheet'!$K$2)+1)/('Row Level Master Sheet'!$C$2:$C$1001="Traditional"),ROWS($B$2:B376))),"")</f>
        <v/>
      </c>
    </row>
    <row r="377" spans="1:2" x14ac:dyDescent="0.35">
      <c r="A377" cm="1">
        <f t="array" ref="A377">IFERROR(INDEX('Row Level Master Sheet'!$K$2:$K$1001,_xlfn.AGGREGATE(15,6,(ROW('Row Level Master Sheet'!$K$2:$K$1001)-ROW('Row Level Master Sheet'!$K$2)+1)/('Row Level Master Sheet'!$C$2:$C$1001="Digital"),ROWS($A$2:A377))),"")</f>
        <v>0.70999999999999985</v>
      </c>
      <c r="B377" s="39" t="str" cm="1">
        <f t="array" ref="B377">IFERROR(INDEX('Row Level Master Sheet'!$K$2:$K$1001,_xlfn.AGGREGATE(15,6,(ROW('Row Level Master Sheet'!$K$2:$K$1001)-ROW('Row Level Master Sheet'!$K$2)+1)/('Row Level Master Sheet'!$C$2:$C$1001="Traditional"),ROWS($B$2:B377))),"")</f>
        <v/>
      </c>
    </row>
    <row r="378" spans="1:2" x14ac:dyDescent="0.35">
      <c r="A378" cm="1">
        <f t="array" ref="A378">IFERROR(INDEX('Row Level Master Sheet'!$K$2:$K$1001,_xlfn.AGGREGATE(15,6,(ROW('Row Level Master Sheet'!$K$2:$K$1001)-ROW('Row Level Master Sheet'!$K$2)+1)/('Row Level Master Sheet'!$C$2:$C$1001="Digital"),ROWS($A$2:A378))),"")</f>
        <v>0.71000000000000008</v>
      </c>
      <c r="B378" s="39" t="str" cm="1">
        <f t="array" ref="B378">IFERROR(INDEX('Row Level Master Sheet'!$K$2:$K$1001,_xlfn.AGGREGATE(15,6,(ROW('Row Level Master Sheet'!$K$2:$K$1001)-ROW('Row Level Master Sheet'!$K$2)+1)/('Row Level Master Sheet'!$C$2:$C$1001="Traditional"),ROWS($B$2:B378))),"")</f>
        <v/>
      </c>
    </row>
    <row r="379" spans="1:2" x14ac:dyDescent="0.35">
      <c r="A379" cm="1">
        <f t="array" ref="A379">IFERROR(INDEX('Row Level Master Sheet'!$K$2:$K$1001,_xlfn.AGGREGATE(15,6,(ROW('Row Level Master Sheet'!$K$2:$K$1001)-ROW('Row Level Master Sheet'!$K$2)+1)/('Row Level Master Sheet'!$C$2:$C$1001="Digital"),ROWS($A$2:A379))),"")</f>
        <v>0.7100000000000003</v>
      </c>
      <c r="B379" s="39" t="str" cm="1">
        <f t="array" ref="B379">IFERROR(INDEX('Row Level Master Sheet'!$K$2:$K$1001,_xlfn.AGGREGATE(15,6,(ROW('Row Level Master Sheet'!$K$2:$K$1001)-ROW('Row Level Master Sheet'!$K$2)+1)/('Row Level Master Sheet'!$C$2:$C$1001="Traditional"),ROWS($B$2:B379))),"")</f>
        <v/>
      </c>
    </row>
    <row r="380" spans="1:2" x14ac:dyDescent="0.35">
      <c r="A380" cm="1">
        <f t="array" ref="A380">IFERROR(INDEX('Row Level Master Sheet'!$K$2:$K$1001,_xlfn.AGGREGATE(15,6,(ROW('Row Level Master Sheet'!$K$2:$K$1001)-ROW('Row Level Master Sheet'!$K$2)+1)/('Row Level Master Sheet'!$C$2:$C$1001="Digital"),ROWS($A$2:A380))),"")</f>
        <v>0.7100000000000003</v>
      </c>
      <c r="B380" s="39" t="str" cm="1">
        <f t="array" ref="B380">IFERROR(INDEX('Row Level Master Sheet'!$K$2:$K$1001,_xlfn.AGGREGATE(15,6,(ROW('Row Level Master Sheet'!$K$2:$K$1001)-ROW('Row Level Master Sheet'!$K$2)+1)/('Row Level Master Sheet'!$C$2:$C$1001="Traditional"),ROWS($B$2:B380))),"")</f>
        <v/>
      </c>
    </row>
    <row r="381" spans="1:2" x14ac:dyDescent="0.35">
      <c r="A381" cm="1">
        <f t="array" ref="A381">IFERROR(INDEX('Row Level Master Sheet'!$K$2:$K$1001,_xlfn.AGGREGATE(15,6,(ROW('Row Level Master Sheet'!$K$2:$K$1001)-ROW('Row Level Master Sheet'!$K$2)+1)/('Row Level Master Sheet'!$C$2:$C$1001="Digital"),ROWS($A$2:A381))),"")</f>
        <v>0.72000000000000008</v>
      </c>
      <c r="B381" s="39" t="str" cm="1">
        <f t="array" ref="B381">IFERROR(INDEX('Row Level Master Sheet'!$K$2:$K$1001,_xlfn.AGGREGATE(15,6,(ROW('Row Level Master Sheet'!$K$2:$K$1001)-ROW('Row Level Master Sheet'!$K$2)+1)/('Row Level Master Sheet'!$C$2:$C$1001="Traditional"),ROWS($B$2:B381))),"")</f>
        <v/>
      </c>
    </row>
    <row r="382" spans="1:2" x14ac:dyDescent="0.35">
      <c r="A382" cm="1">
        <f t="array" ref="A382">IFERROR(INDEX('Row Level Master Sheet'!$K$2:$K$1001,_xlfn.AGGREGATE(15,6,(ROW('Row Level Master Sheet'!$K$2:$K$1001)-ROW('Row Level Master Sheet'!$K$2)+1)/('Row Level Master Sheet'!$C$2:$C$1001="Digital"),ROWS($A$2:A382))),"")</f>
        <v>0.72999999999999976</v>
      </c>
      <c r="B382" s="39" t="str" cm="1">
        <f t="array" ref="B382">IFERROR(INDEX('Row Level Master Sheet'!$K$2:$K$1001,_xlfn.AGGREGATE(15,6,(ROW('Row Level Master Sheet'!$K$2:$K$1001)-ROW('Row Level Master Sheet'!$K$2)+1)/('Row Level Master Sheet'!$C$2:$C$1001="Traditional"),ROWS($B$2:B382))),"")</f>
        <v/>
      </c>
    </row>
    <row r="383" spans="1:2" x14ac:dyDescent="0.35">
      <c r="A383" cm="1">
        <f t="array" ref="A383">IFERROR(INDEX('Row Level Master Sheet'!$K$2:$K$1001,_xlfn.AGGREGATE(15,6,(ROW('Row Level Master Sheet'!$K$2:$K$1001)-ROW('Row Level Master Sheet'!$K$2)+1)/('Row Level Master Sheet'!$C$2:$C$1001="Digital"),ROWS($A$2:A383))),"")</f>
        <v>0.7300000000000002</v>
      </c>
      <c r="B383" s="39" t="str" cm="1">
        <f t="array" ref="B383">IFERROR(INDEX('Row Level Master Sheet'!$K$2:$K$1001,_xlfn.AGGREGATE(15,6,(ROW('Row Level Master Sheet'!$K$2:$K$1001)-ROW('Row Level Master Sheet'!$K$2)+1)/('Row Level Master Sheet'!$C$2:$C$1001="Traditional"),ROWS($B$2:B383))),"")</f>
        <v/>
      </c>
    </row>
    <row r="384" spans="1:2" x14ac:dyDescent="0.35">
      <c r="A384" cm="1">
        <f t="array" ref="A384">IFERROR(INDEX('Row Level Master Sheet'!$K$2:$K$1001,_xlfn.AGGREGATE(15,6,(ROW('Row Level Master Sheet'!$K$2:$K$1001)-ROW('Row Level Master Sheet'!$K$2)+1)/('Row Level Master Sheet'!$C$2:$C$1001="Digital"),ROWS($A$2:A384))),"")</f>
        <v>0.7300000000000002</v>
      </c>
      <c r="B384" s="39" t="str" cm="1">
        <f t="array" ref="B384">IFERROR(INDEX('Row Level Master Sheet'!$K$2:$K$1001,_xlfn.AGGREGATE(15,6,(ROW('Row Level Master Sheet'!$K$2:$K$1001)-ROW('Row Level Master Sheet'!$K$2)+1)/('Row Level Master Sheet'!$C$2:$C$1001="Traditional"),ROWS($B$2:B384))),"")</f>
        <v/>
      </c>
    </row>
    <row r="385" spans="1:2" x14ac:dyDescent="0.35">
      <c r="A385" cm="1">
        <f t="array" ref="A385">IFERROR(INDEX('Row Level Master Sheet'!$K$2:$K$1001,_xlfn.AGGREGATE(15,6,(ROW('Row Level Master Sheet'!$K$2:$K$1001)-ROW('Row Level Master Sheet'!$K$2)+1)/('Row Level Master Sheet'!$C$2:$C$1001="Digital"),ROWS($A$2:A385))),"")</f>
        <v>0.73999999999999988</v>
      </c>
      <c r="B385" s="39" t="str" cm="1">
        <f t="array" ref="B385">IFERROR(INDEX('Row Level Master Sheet'!$K$2:$K$1001,_xlfn.AGGREGATE(15,6,(ROW('Row Level Master Sheet'!$K$2:$K$1001)-ROW('Row Level Master Sheet'!$K$2)+1)/('Row Level Master Sheet'!$C$2:$C$1001="Traditional"),ROWS($B$2:B385))),"")</f>
        <v/>
      </c>
    </row>
    <row r="386" spans="1:2" x14ac:dyDescent="0.35">
      <c r="A386" cm="1">
        <f t="array" ref="A386">IFERROR(INDEX('Row Level Master Sheet'!$K$2:$K$1001,_xlfn.AGGREGATE(15,6,(ROW('Row Level Master Sheet'!$K$2:$K$1001)-ROW('Row Level Master Sheet'!$K$2)+1)/('Row Level Master Sheet'!$C$2:$C$1001="Digital"),ROWS($A$2:A386))),"")</f>
        <v>0.74</v>
      </c>
      <c r="B386" s="39" t="str" cm="1">
        <f t="array" ref="B386">IFERROR(INDEX('Row Level Master Sheet'!$K$2:$K$1001,_xlfn.AGGREGATE(15,6,(ROW('Row Level Master Sheet'!$K$2:$K$1001)-ROW('Row Level Master Sheet'!$K$2)+1)/('Row Level Master Sheet'!$C$2:$C$1001="Traditional"),ROWS($B$2:B386))),"")</f>
        <v/>
      </c>
    </row>
    <row r="387" spans="1:2" x14ac:dyDescent="0.35">
      <c r="A387" cm="1">
        <f t="array" ref="A387">IFERROR(INDEX('Row Level Master Sheet'!$K$2:$K$1001,_xlfn.AGGREGATE(15,6,(ROW('Row Level Master Sheet'!$K$2:$K$1001)-ROW('Row Level Master Sheet'!$K$2)+1)/('Row Level Master Sheet'!$C$2:$C$1001="Digital"),ROWS($A$2:A387))),"")</f>
        <v>0.76000000000000012</v>
      </c>
      <c r="B387" s="39" t="str" cm="1">
        <f t="array" ref="B387">IFERROR(INDEX('Row Level Master Sheet'!$K$2:$K$1001,_xlfn.AGGREGATE(15,6,(ROW('Row Level Master Sheet'!$K$2:$K$1001)-ROW('Row Level Master Sheet'!$K$2)+1)/('Row Level Master Sheet'!$C$2:$C$1001="Traditional"),ROWS($B$2:B387))),"")</f>
        <v/>
      </c>
    </row>
    <row r="388" spans="1:2" x14ac:dyDescent="0.35">
      <c r="A388" cm="1">
        <f t="array" ref="A388">IFERROR(INDEX('Row Level Master Sheet'!$K$2:$K$1001,_xlfn.AGGREGATE(15,6,(ROW('Row Level Master Sheet'!$K$2:$K$1001)-ROW('Row Level Master Sheet'!$K$2)+1)/('Row Level Master Sheet'!$C$2:$C$1001="Digital"),ROWS($A$2:A388))),"")</f>
        <v>0.76000000000000023</v>
      </c>
      <c r="B388" s="39" t="str" cm="1">
        <f t="array" ref="B388">IFERROR(INDEX('Row Level Master Sheet'!$K$2:$K$1001,_xlfn.AGGREGATE(15,6,(ROW('Row Level Master Sheet'!$K$2:$K$1001)-ROW('Row Level Master Sheet'!$K$2)+1)/('Row Level Master Sheet'!$C$2:$C$1001="Traditional"),ROWS($B$2:B388))),"")</f>
        <v/>
      </c>
    </row>
    <row r="389" spans="1:2" x14ac:dyDescent="0.35">
      <c r="A389" cm="1">
        <f t="array" ref="A389">IFERROR(INDEX('Row Level Master Sheet'!$K$2:$K$1001,_xlfn.AGGREGATE(15,6,(ROW('Row Level Master Sheet'!$K$2:$K$1001)-ROW('Row Level Master Sheet'!$K$2)+1)/('Row Level Master Sheet'!$C$2:$C$1001="Digital"),ROWS($A$2:A389))),"")</f>
        <v>0.76000000000000023</v>
      </c>
      <c r="B389" s="39" t="str" cm="1">
        <f t="array" ref="B389">IFERROR(INDEX('Row Level Master Sheet'!$K$2:$K$1001,_xlfn.AGGREGATE(15,6,(ROW('Row Level Master Sheet'!$K$2:$K$1001)-ROW('Row Level Master Sheet'!$K$2)+1)/('Row Level Master Sheet'!$C$2:$C$1001="Traditional"),ROWS($B$2:B389))),"")</f>
        <v/>
      </c>
    </row>
    <row r="390" spans="1:2" x14ac:dyDescent="0.35">
      <c r="A390" cm="1">
        <f t="array" ref="A390">IFERROR(INDEX('Row Level Master Sheet'!$K$2:$K$1001,_xlfn.AGGREGATE(15,6,(ROW('Row Level Master Sheet'!$K$2:$K$1001)-ROW('Row Level Master Sheet'!$K$2)+1)/('Row Level Master Sheet'!$C$2:$C$1001="Digital"),ROWS($A$2:A390))),"")</f>
        <v>0.76999999999999991</v>
      </c>
      <c r="B390" s="39" t="str" cm="1">
        <f t="array" ref="B390">IFERROR(INDEX('Row Level Master Sheet'!$K$2:$K$1001,_xlfn.AGGREGATE(15,6,(ROW('Row Level Master Sheet'!$K$2:$K$1001)-ROW('Row Level Master Sheet'!$K$2)+1)/('Row Level Master Sheet'!$C$2:$C$1001="Traditional"),ROWS($B$2:B390))),"")</f>
        <v/>
      </c>
    </row>
    <row r="391" spans="1:2" x14ac:dyDescent="0.35">
      <c r="A391" cm="1">
        <f t="array" ref="A391">IFERROR(INDEX('Row Level Master Sheet'!$K$2:$K$1001,_xlfn.AGGREGATE(15,6,(ROW('Row Level Master Sheet'!$K$2:$K$1001)-ROW('Row Level Master Sheet'!$K$2)+1)/('Row Level Master Sheet'!$C$2:$C$1001="Digital"),ROWS($A$2:A391))),"")</f>
        <v>0.76999999999999991</v>
      </c>
      <c r="B391" s="39" t="str" cm="1">
        <f t="array" ref="B391">IFERROR(INDEX('Row Level Master Sheet'!$K$2:$K$1001,_xlfn.AGGREGATE(15,6,(ROW('Row Level Master Sheet'!$K$2:$K$1001)-ROW('Row Level Master Sheet'!$K$2)+1)/('Row Level Master Sheet'!$C$2:$C$1001="Traditional"),ROWS($B$2:B391))),"")</f>
        <v/>
      </c>
    </row>
    <row r="392" spans="1:2" x14ac:dyDescent="0.35">
      <c r="A392" cm="1">
        <f t="array" ref="A392">IFERROR(INDEX('Row Level Master Sheet'!$K$2:$K$1001,_xlfn.AGGREGATE(15,6,(ROW('Row Level Master Sheet'!$K$2:$K$1001)-ROW('Row Level Master Sheet'!$K$2)+1)/('Row Level Master Sheet'!$C$2:$C$1001="Digital"),ROWS($A$2:A392))),"")</f>
        <v>0.76999999999999991</v>
      </c>
      <c r="B392" s="39" t="str" cm="1">
        <f t="array" ref="B392">IFERROR(INDEX('Row Level Master Sheet'!$K$2:$K$1001,_xlfn.AGGREGATE(15,6,(ROW('Row Level Master Sheet'!$K$2:$K$1001)-ROW('Row Level Master Sheet'!$K$2)+1)/('Row Level Master Sheet'!$C$2:$C$1001="Traditional"),ROWS($B$2:B392))),"")</f>
        <v/>
      </c>
    </row>
    <row r="393" spans="1:2" x14ac:dyDescent="0.35">
      <c r="A393" cm="1">
        <f t="array" ref="A393">IFERROR(INDEX('Row Level Master Sheet'!$K$2:$K$1001,_xlfn.AGGREGATE(15,6,(ROW('Row Level Master Sheet'!$K$2:$K$1001)-ROW('Row Level Master Sheet'!$K$2)+1)/('Row Level Master Sheet'!$C$2:$C$1001="Digital"),ROWS($A$2:A393))),"")</f>
        <v>0.77</v>
      </c>
      <c r="B393" s="39" t="str" cm="1">
        <f t="array" ref="B393">IFERROR(INDEX('Row Level Master Sheet'!$K$2:$K$1001,_xlfn.AGGREGATE(15,6,(ROW('Row Level Master Sheet'!$K$2:$K$1001)-ROW('Row Level Master Sheet'!$K$2)+1)/('Row Level Master Sheet'!$C$2:$C$1001="Traditional"),ROWS($B$2:B393))),"")</f>
        <v/>
      </c>
    </row>
    <row r="394" spans="1:2" x14ac:dyDescent="0.35">
      <c r="A394" cm="1">
        <f t="array" ref="A394">IFERROR(INDEX('Row Level Master Sheet'!$K$2:$K$1001,_xlfn.AGGREGATE(15,6,(ROW('Row Level Master Sheet'!$K$2:$K$1001)-ROW('Row Level Master Sheet'!$K$2)+1)/('Row Level Master Sheet'!$C$2:$C$1001="Digital"),ROWS($A$2:A394))),"")</f>
        <v>0.77000000000000024</v>
      </c>
      <c r="B394" s="39" t="str" cm="1">
        <f t="array" ref="B394">IFERROR(INDEX('Row Level Master Sheet'!$K$2:$K$1001,_xlfn.AGGREGATE(15,6,(ROW('Row Level Master Sheet'!$K$2:$K$1001)-ROW('Row Level Master Sheet'!$K$2)+1)/('Row Level Master Sheet'!$C$2:$C$1001="Traditional"),ROWS($B$2:B394))),"")</f>
        <v/>
      </c>
    </row>
    <row r="395" spans="1:2" x14ac:dyDescent="0.35">
      <c r="A395" cm="1">
        <f t="array" ref="A395">IFERROR(INDEX('Row Level Master Sheet'!$K$2:$K$1001,_xlfn.AGGREGATE(15,6,(ROW('Row Level Master Sheet'!$K$2:$K$1001)-ROW('Row Level Master Sheet'!$K$2)+1)/('Row Level Master Sheet'!$C$2:$C$1001="Digital"),ROWS($A$2:A395))),"")</f>
        <v>0.7799999999999998</v>
      </c>
      <c r="B395" s="39" t="str" cm="1">
        <f t="array" ref="B395">IFERROR(INDEX('Row Level Master Sheet'!$K$2:$K$1001,_xlfn.AGGREGATE(15,6,(ROW('Row Level Master Sheet'!$K$2:$K$1001)-ROW('Row Level Master Sheet'!$K$2)+1)/('Row Level Master Sheet'!$C$2:$C$1001="Traditional"),ROWS($B$2:B395))),"")</f>
        <v/>
      </c>
    </row>
    <row r="396" spans="1:2" x14ac:dyDescent="0.35">
      <c r="A396" cm="1">
        <f t="array" ref="A396">IFERROR(INDEX('Row Level Master Sheet'!$K$2:$K$1001,_xlfn.AGGREGATE(15,6,(ROW('Row Level Master Sheet'!$K$2:$K$1001)-ROW('Row Level Master Sheet'!$K$2)+1)/('Row Level Master Sheet'!$C$2:$C$1001="Digital"),ROWS($A$2:A396))),"")</f>
        <v>0.78000000000000014</v>
      </c>
      <c r="B396" s="39" t="str" cm="1">
        <f t="array" ref="B396">IFERROR(INDEX('Row Level Master Sheet'!$K$2:$K$1001,_xlfn.AGGREGATE(15,6,(ROW('Row Level Master Sheet'!$K$2:$K$1001)-ROW('Row Level Master Sheet'!$K$2)+1)/('Row Level Master Sheet'!$C$2:$C$1001="Traditional"),ROWS($B$2:B396))),"")</f>
        <v/>
      </c>
    </row>
    <row r="397" spans="1:2" x14ac:dyDescent="0.35">
      <c r="A397" cm="1">
        <f t="array" ref="A397">IFERROR(INDEX('Row Level Master Sheet'!$K$2:$K$1001,_xlfn.AGGREGATE(15,6,(ROW('Row Level Master Sheet'!$K$2:$K$1001)-ROW('Row Level Master Sheet'!$K$2)+1)/('Row Level Master Sheet'!$C$2:$C$1001="Digital"),ROWS($A$2:A397))),"")</f>
        <v>0.78999999999999992</v>
      </c>
      <c r="B397" s="39" t="str" cm="1">
        <f t="array" ref="B397">IFERROR(INDEX('Row Level Master Sheet'!$K$2:$K$1001,_xlfn.AGGREGATE(15,6,(ROW('Row Level Master Sheet'!$K$2:$K$1001)-ROW('Row Level Master Sheet'!$K$2)+1)/('Row Level Master Sheet'!$C$2:$C$1001="Traditional"),ROWS($B$2:B397))),"")</f>
        <v/>
      </c>
    </row>
    <row r="398" spans="1:2" x14ac:dyDescent="0.35">
      <c r="A398" cm="1">
        <f t="array" ref="A398">IFERROR(INDEX('Row Level Master Sheet'!$K$2:$K$1001,_xlfn.AGGREGATE(15,6,(ROW('Row Level Master Sheet'!$K$2:$K$1001)-ROW('Row Level Master Sheet'!$K$2)+1)/('Row Level Master Sheet'!$C$2:$C$1001="Digital"),ROWS($A$2:A398))),"")</f>
        <v>0.79</v>
      </c>
      <c r="B398" s="39" t="str" cm="1">
        <f t="array" ref="B398">IFERROR(INDEX('Row Level Master Sheet'!$K$2:$K$1001,_xlfn.AGGREGATE(15,6,(ROW('Row Level Master Sheet'!$K$2:$K$1001)-ROW('Row Level Master Sheet'!$K$2)+1)/('Row Level Master Sheet'!$C$2:$C$1001="Traditional"),ROWS($B$2:B398))),"")</f>
        <v/>
      </c>
    </row>
    <row r="399" spans="1:2" x14ac:dyDescent="0.35">
      <c r="A399" cm="1">
        <f t="array" ref="A399">IFERROR(INDEX('Row Level Master Sheet'!$K$2:$K$1001,_xlfn.AGGREGATE(15,6,(ROW('Row Level Master Sheet'!$K$2:$K$1001)-ROW('Row Level Master Sheet'!$K$2)+1)/('Row Level Master Sheet'!$C$2:$C$1001="Digital"),ROWS($A$2:A399))),"")</f>
        <v>0.79000000000000015</v>
      </c>
      <c r="B399" s="39" t="str" cm="1">
        <f t="array" ref="B399">IFERROR(INDEX('Row Level Master Sheet'!$K$2:$K$1001,_xlfn.AGGREGATE(15,6,(ROW('Row Level Master Sheet'!$K$2:$K$1001)-ROW('Row Level Master Sheet'!$K$2)+1)/('Row Level Master Sheet'!$C$2:$C$1001="Traditional"),ROWS($B$2:B399))),"")</f>
        <v/>
      </c>
    </row>
    <row r="400" spans="1:2" x14ac:dyDescent="0.35">
      <c r="A400" cm="1">
        <f t="array" ref="A400">IFERROR(INDEX('Row Level Master Sheet'!$K$2:$K$1001,_xlfn.AGGREGATE(15,6,(ROW('Row Level Master Sheet'!$K$2:$K$1001)-ROW('Row Level Master Sheet'!$K$2)+1)/('Row Level Master Sheet'!$C$2:$C$1001="Digital"),ROWS($A$2:A400))),"")</f>
        <v>0.79000000000000015</v>
      </c>
      <c r="B400" s="39" t="str" cm="1">
        <f t="array" ref="B400">IFERROR(INDEX('Row Level Master Sheet'!$K$2:$K$1001,_xlfn.AGGREGATE(15,6,(ROW('Row Level Master Sheet'!$K$2:$K$1001)-ROW('Row Level Master Sheet'!$K$2)+1)/('Row Level Master Sheet'!$C$2:$C$1001="Traditional"),ROWS($B$2:B400))),"")</f>
        <v/>
      </c>
    </row>
    <row r="401" spans="1:2" x14ac:dyDescent="0.35">
      <c r="A401" cm="1">
        <f t="array" ref="A401">IFERROR(INDEX('Row Level Master Sheet'!$K$2:$K$1001,_xlfn.AGGREGATE(15,6,(ROW('Row Level Master Sheet'!$K$2:$K$1001)-ROW('Row Level Master Sheet'!$K$2)+1)/('Row Level Master Sheet'!$C$2:$C$1001="Digital"),ROWS($A$2:A401))),"")</f>
        <v>0.79000000000000026</v>
      </c>
      <c r="B401" s="39" t="str" cm="1">
        <f t="array" ref="B401">IFERROR(INDEX('Row Level Master Sheet'!$K$2:$K$1001,_xlfn.AGGREGATE(15,6,(ROW('Row Level Master Sheet'!$K$2:$K$1001)-ROW('Row Level Master Sheet'!$K$2)+1)/('Row Level Master Sheet'!$C$2:$C$1001="Traditional"),ROWS($B$2:B401))),"")</f>
        <v/>
      </c>
    </row>
    <row r="402" spans="1:2" x14ac:dyDescent="0.35">
      <c r="A402" cm="1">
        <f t="array" ref="A402">IFERROR(INDEX('Row Level Master Sheet'!$K$2:$K$1001,_xlfn.AGGREGATE(15,6,(ROW('Row Level Master Sheet'!$K$2:$K$1001)-ROW('Row Level Master Sheet'!$K$2)+1)/('Row Level Master Sheet'!$C$2:$C$1001="Digital"),ROWS($A$2:A402))),"")</f>
        <v>0.80000000000000016</v>
      </c>
      <c r="B402" s="39" t="str" cm="1">
        <f t="array" ref="B402">IFERROR(INDEX('Row Level Master Sheet'!$K$2:$K$1001,_xlfn.AGGREGATE(15,6,(ROW('Row Level Master Sheet'!$K$2:$K$1001)-ROW('Row Level Master Sheet'!$K$2)+1)/('Row Level Master Sheet'!$C$2:$C$1001="Traditional"),ROWS($B$2:B402))),"")</f>
        <v/>
      </c>
    </row>
    <row r="403" spans="1:2" x14ac:dyDescent="0.35">
      <c r="A403" cm="1">
        <f t="array" ref="A403">IFERROR(INDEX('Row Level Master Sheet'!$K$2:$K$1001,_xlfn.AGGREGATE(15,6,(ROW('Row Level Master Sheet'!$K$2:$K$1001)-ROW('Row Level Master Sheet'!$K$2)+1)/('Row Level Master Sheet'!$C$2:$C$1001="Digital"),ROWS($A$2:A403))),"")</f>
        <v>0.80999999999999983</v>
      </c>
      <c r="B403" s="39" t="str" cm="1">
        <f t="array" ref="B403">IFERROR(INDEX('Row Level Master Sheet'!$K$2:$K$1001,_xlfn.AGGREGATE(15,6,(ROW('Row Level Master Sheet'!$K$2:$K$1001)-ROW('Row Level Master Sheet'!$K$2)+1)/('Row Level Master Sheet'!$C$2:$C$1001="Traditional"),ROWS($B$2:B403))),"")</f>
        <v/>
      </c>
    </row>
    <row r="404" spans="1:2" x14ac:dyDescent="0.35">
      <c r="A404" cm="1">
        <f t="array" ref="A404">IFERROR(INDEX('Row Level Master Sheet'!$K$2:$K$1001,_xlfn.AGGREGATE(15,6,(ROW('Row Level Master Sheet'!$K$2:$K$1001)-ROW('Row Level Master Sheet'!$K$2)+1)/('Row Level Master Sheet'!$C$2:$C$1001="Digital"),ROWS($A$2:A404))),"")</f>
        <v>0.82</v>
      </c>
      <c r="B404" s="39" t="str" cm="1">
        <f t="array" ref="B404">IFERROR(INDEX('Row Level Master Sheet'!$K$2:$K$1001,_xlfn.AGGREGATE(15,6,(ROW('Row Level Master Sheet'!$K$2:$K$1001)-ROW('Row Level Master Sheet'!$K$2)+1)/('Row Level Master Sheet'!$C$2:$C$1001="Traditional"),ROWS($B$2:B404))),"")</f>
        <v/>
      </c>
    </row>
    <row r="405" spans="1:2" x14ac:dyDescent="0.35">
      <c r="A405" cm="1">
        <f t="array" ref="A405">IFERROR(INDEX('Row Level Master Sheet'!$K$2:$K$1001,_xlfn.AGGREGATE(15,6,(ROW('Row Level Master Sheet'!$K$2:$K$1001)-ROW('Row Level Master Sheet'!$K$2)+1)/('Row Level Master Sheet'!$C$2:$C$1001="Digital"),ROWS($A$2:A405))),"")</f>
        <v>0.82</v>
      </c>
      <c r="B405" s="39" t="str" cm="1">
        <f t="array" ref="B405">IFERROR(INDEX('Row Level Master Sheet'!$K$2:$K$1001,_xlfn.AGGREGATE(15,6,(ROW('Row Level Master Sheet'!$K$2:$K$1001)-ROW('Row Level Master Sheet'!$K$2)+1)/('Row Level Master Sheet'!$C$2:$C$1001="Traditional"),ROWS($B$2:B405))),"")</f>
        <v/>
      </c>
    </row>
    <row r="406" spans="1:2" x14ac:dyDescent="0.35">
      <c r="A406" cm="1">
        <f t="array" ref="A406">IFERROR(INDEX('Row Level Master Sheet'!$K$2:$K$1001,_xlfn.AGGREGATE(15,6,(ROW('Row Level Master Sheet'!$K$2:$K$1001)-ROW('Row Level Master Sheet'!$K$2)+1)/('Row Level Master Sheet'!$C$2:$C$1001="Digital"),ROWS($A$2:A406))),"")</f>
        <v>0.82000000000000028</v>
      </c>
      <c r="B406" s="39" t="str" cm="1">
        <f t="array" ref="B406">IFERROR(INDEX('Row Level Master Sheet'!$K$2:$K$1001,_xlfn.AGGREGATE(15,6,(ROW('Row Level Master Sheet'!$K$2:$K$1001)-ROW('Row Level Master Sheet'!$K$2)+1)/('Row Level Master Sheet'!$C$2:$C$1001="Traditional"),ROWS($B$2:B406))),"")</f>
        <v/>
      </c>
    </row>
    <row r="407" spans="1:2" x14ac:dyDescent="0.35">
      <c r="A407" cm="1">
        <f t="array" ref="A407">IFERROR(INDEX('Row Level Master Sheet'!$K$2:$K$1001,_xlfn.AGGREGATE(15,6,(ROW('Row Level Master Sheet'!$K$2:$K$1001)-ROW('Row Level Master Sheet'!$K$2)+1)/('Row Level Master Sheet'!$C$2:$C$1001="Digital"),ROWS($A$2:A407))),"")</f>
        <v>0.82999999999999985</v>
      </c>
      <c r="B407" s="39" t="str" cm="1">
        <f t="array" ref="B407">IFERROR(INDEX('Row Level Master Sheet'!$K$2:$K$1001,_xlfn.AGGREGATE(15,6,(ROW('Row Level Master Sheet'!$K$2:$K$1001)-ROW('Row Level Master Sheet'!$K$2)+1)/('Row Level Master Sheet'!$C$2:$C$1001="Traditional"),ROWS($B$2:B407))),"")</f>
        <v/>
      </c>
    </row>
    <row r="408" spans="1:2" x14ac:dyDescent="0.35">
      <c r="A408" cm="1">
        <f t="array" ref="A408">IFERROR(INDEX('Row Level Master Sheet'!$K$2:$K$1001,_xlfn.AGGREGATE(15,6,(ROW('Row Level Master Sheet'!$K$2:$K$1001)-ROW('Row Level Master Sheet'!$K$2)+1)/('Row Level Master Sheet'!$C$2:$C$1001="Digital"),ROWS($A$2:A408))),"")</f>
        <v>0.83000000000000007</v>
      </c>
      <c r="B408" s="39" t="str" cm="1">
        <f t="array" ref="B408">IFERROR(INDEX('Row Level Master Sheet'!$K$2:$K$1001,_xlfn.AGGREGATE(15,6,(ROW('Row Level Master Sheet'!$K$2:$K$1001)-ROW('Row Level Master Sheet'!$K$2)+1)/('Row Level Master Sheet'!$C$2:$C$1001="Traditional"),ROWS($B$2:B408))),"")</f>
        <v/>
      </c>
    </row>
    <row r="409" spans="1:2" x14ac:dyDescent="0.35">
      <c r="A409" cm="1">
        <f t="array" ref="A409">IFERROR(INDEX('Row Level Master Sheet'!$K$2:$K$1001,_xlfn.AGGREGATE(15,6,(ROW('Row Level Master Sheet'!$K$2:$K$1001)-ROW('Row Level Master Sheet'!$K$2)+1)/('Row Level Master Sheet'!$C$2:$C$1001="Digital"),ROWS($A$2:A409))),"")</f>
        <v>0.83999999999999986</v>
      </c>
      <c r="B409" s="39" t="str" cm="1">
        <f t="array" ref="B409">IFERROR(INDEX('Row Level Master Sheet'!$K$2:$K$1001,_xlfn.AGGREGATE(15,6,(ROW('Row Level Master Sheet'!$K$2:$K$1001)-ROW('Row Level Master Sheet'!$K$2)+1)/('Row Level Master Sheet'!$C$2:$C$1001="Traditional"),ROWS($B$2:B409))),"")</f>
        <v/>
      </c>
    </row>
    <row r="410" spans="1:2" x14ac:dyDescent="0.35">
      <c r="A410" cm="1">
        <f t="array" ref="A410">IFERROR(INDEX('Row Level Master Sheet'!$K$2:$K$1001,_xlfn.AGGREGATE(15,6,(ROW('Row Level Master Sheet'!$K$2:$K$1001)-ROW('Row Level Master Sheet'!$K$2)+1)/('Row Level Master Sheet'!$C$2:$C$1001="Digital"),ROWS($A$2:A410))),"")</f>
        <v>0.84</v>
      </c>
      <c r="B410" s="39" t="str" cm="1">
        <f t="array" ref="B410">IFERROR(INDEX('Row Level Master Sheet'!$K$2:$K$1001,_xlfn.AGGREGATE(15,6,(ROW('Row Level Master Sheet'!$K$2:$K$1001)-ROW('Row Level Master Sheet'!$K$2)+1)/('Row Level Master Sheet'!$C$2:$C$1001="Traditional"),ROWS($B$2:B410))),"")</f>
        <v/>
      </c>
    </row>
    <row r="411" spans="1:2" x14ac:dyDescent="0.35">
      <c r="A411" cm="1">
        <f t="array" ref="A411">IFERROR(INDEX('Row Level Master Sheet'!$K$2:$K$1001,_xlfn.AGGREGATE(15,6,(ROW('Row Level Master Sheet'!$K$2:$K$1001)-ROW('Row Level Master Sheet'!$K$2)+1)/('Row Level Master Sheet'!$C$2:$C$1001="Digital"),ROWS($A$2:A411))),"")</f>
        <v>0.84</v>
      </c>
      <c r="B411" s="39" t="str" cm="1">
        <f t="array" ref="B411">IFERROR(INDEX('Row Level Master Sheet'!$K$2:$K$1001,_xlfn.AGGREGATE(15,6,(ROW('Row Level Master Sheet'!$K$2:$K$1001)-ROW('Row Level Master Sheet'!$K$2)+1)/('Row Level Master Sheet'!$C$2:$C$1001="Traditional"),ROWS($B$2:B411))),"")</f>
        <v/>
      </c>
    </row>
    <row r="412" spans="1:2" x14ac:dyDescent="0.35">
      <c r="A412" cm="1">
        <f t="array" ref="A412">IFERROR(INDEX('Row Level Master Sheet'!$K$2:$K$1001,_xlfn.AGGREGATE(15,6,(ROW('Row Level Master Sheet'!$K$2:$K$1001)-ROW('Row Level Master Sheet'!$K$2)+1)/('Row Level Master Sheet'!$C$2:$C$1001="Digital"),ROWS($A$2:A412))),"")</f>
        <v>0.84000000000000019</v>
      </c>
      <c r="B412" s="39" t="str" cm="1">
        <f t="array" ref="B412">IFERROR(INDEX('Row Level Master Sheet'!$K$2:$K$1001,_xlfn.AGGREGATE(15,6,(ROW('Row Level Master Sheet'!$K$2:$K$1001)-ROW('Row Level Master Sheet'!$K$2)+1)/('Row Level Master Sheet'!$C$2:$C$1001="Traditional"),ROWS($B$2:B412))),"")</f>
        <v/>
      </c>
    </row>
    <row r="413" spans="1:2" x14ac:dyDescent="0.35">
      <c r="A413" cm="1">
        <f t="array" ref="A413">IFERROR(INDEX('Row Level Master Sheet'!$K$2:$K$1001,_xlfn.AGGREGATE(15,6,(ROW('Row Level Master Sheet'!$K$2:$K$1001)-ROW('Row Level Master Sheet'!$K$2)+1)/('Row Level Master Sheet'!$C$2:$C$1001="Digital"),ROWS($A$2:A413))),"")</f>
        <v>0.84999999999999987</v>
      </c>
      <c r="B413" s="39" t="str" cm="1">
        <f t="array" ref="B413">IFERROR(INDEX('Row Level Master Sheet'!$K$2:$K$1001,_xlfn.AGGREGATE(15,6,(ROW('Row Level Master Sheet'!$K$2:$K$1001)-ROW('Row Level Master Sheet'!$K$2)+1)/('Row Level Master Sheet'!$C$2:$C$1001="Traditional"),ROWS($B$2:B413))),"")</f>
        <v/>
      </c>
    </row>
    <row r="414" spans="1:2" x14ac:dyDescent="0.35">
      <c r="A414" cm="1">
        <f t="array" ref="A414">IFERROR(INDEX('Row Level Master Sheet'!$K$2:$K$1001,_xlfn.AGGREGATE(15,6,(ROW('Row Level Master Sheet'!$K$2:$K$1001)-ROW('Row Level Master Sheet'!$K$2)+1)/('Row Level Master Sheet'!$C$2:$C$1001="Digital"),ROWS($A$2:A414))),"")</f>
        <v>0.85</v>
      </c>
      <c r="B414" s="39" t="str" cm="1">
        <f t="array" ref="B414">IFERROR(INDEX('Row Level Master Sheet'!$K$2:$K$1001,_xlfn.AGGREGATE(15,6,(ROW('Row Level Master Sheet'!$K$2:$K$1001)-ROW('Row Level Master Sheet'!$K$2)+1)/('Row Level Master Sheet'!$C$2:$C$1001="Traditional"),ROWS($B$2:B414))),"")</f>
        <v/>
      </c>
    </row>
    <row r="415" spans="1:2" x14ac:dyDescent="0.35">
      <c r="A415" cm="1">
        <f t="array" ref="A415">IFERROR(INDEX('Row Level Master Sheet'!$K$2:$K$1001,_xlfn.AGGREGATE(15,6,(ROW('Row Level Master Sheet'!$K$2:$K$1001)-ROW('Row Level Master Sheet'!$K$2)+1)/('Row Level Master Sheet'!$C$2:$C$1001="Digital"),ROWS($A$2:A415))),"")</f>
        <v>0.85</v>
      </c>
      <c r="B415" s="39" t="str" cm="1">
        <f t="array" ref="B415">IFERROR(INDEX('Row Level Master Sheet'!$K$2:$K$1001,_xlfn.AGGREGATE(15,6,(ROW('Row Level Master Sheet'!$K$2:$K$1001)-ROW('Row Level Master Sheet'!$K$2)+1)/('Row Level Master Sheet'!$C$2:$C$1001="Traditional"),ROWS($B$2:B415))),"")</f>
        <v/>
      </c>
    </row>
    <row r="416" spans="1:2" x14ac:dyDescent="0.35">
      <c r="A416" cm="1">
        <f t="array" ref="A416">IFERROR(INDEX('Row Level Master Sheet'!$K$2:$K$1001,_xlfn.AGGREGATE(15,6,(ROW('Row Level Master Sheet'!$K$2:$K$1001)-ROW('Row Level Master Sheet'!$K$2)+1)/('Row Level Master Sheet'!$C$2:$C$1001="Digital"),ROWS($A$2:A416))),"")</f>
        <v>0.85</v>
      </c>
      <c r="B416" s="39" t="str" cm="1">
        <f t="array" ref="B416">IFERROR(INDEX('Row Level Master Sheet'!$K$2:$K$1001,_xlfn.AGGREGATE(15,6,(ROW('Row Level Master Sheet'!$K$2:$K$1001)-ROW('Row Level Master Sheet'!$K$2)+1)/('Row Level Master Sheet'!$C$2:$C$1001="Traditional"),ROWS($B$2:B416))),"")</f>
        <v/>
      </c>
    </row>
    <row r="417" spans="1:2" x14ac:dyDescent="0.35">
      <c r="A417" cm="1">
        <f t="array" ref="A417">IFERROR(INDEX('Row Level Master Sheet'!$K$2:$K$1001,_xlfn.AGGREGATE(15,6,(ROW('Row Level Master Sheet'!$K$2:$K$1001)-ROW('Row Level Master Sheet'!$K$2)+1)/('Row Level Master Sheet'!$C$2:$C$1001="Digital"),ROWS($A$2:A417))),"")</f>
        <v>0.8500000000000002</v>
      </c>
      <c r="B417" s="39" t="str" cm="1">
        <f t="array" ref="B417">IFERROR(INDEX('Row Level Master Sheet'!$K$2:$K$1001,_xlfn.AGGREGATE(15,6,(ROW('Row Level Master Sheet'!$K$2:$K$1001)-ROW('Row Level Master Sheet'!$K$2)+1)/('Row Level Master Sheet'!$C$2:$C$1001="Traditional"),ROWS($B$2:B417))),"")</f>
        <v/>
      </c>
    </row>
    <row r="418" spans="1:2" x14ac:dyDescent="0.35">
      <c r="A418" cm="1">
        <f t="array" ref="A418">IFERROR(INDEX('Row Level Master Sheet'!$K$2:$K$1001,_xlfn.AGGREGATE(15,6,(ROW('Row Level Master Sheet'!$K$2:$K$1001)-ROW('Row Level Master Sheet'!$K$2)+1)/('Row Level Master Sheet'!$C$2:$C$1001="Digital"),ROWS($A$2:A418))),"")</f>
        <v>0.85999999999999988</v>
      </c>
      <c r="B418" s="39" t="str" cm="1">
        <f t="array" ref="B418">IFERROR(INDEX('Row Level Master Sheet'!$K$2:$K$1001,_xlfn.AGGREGATE(15,6,(ROW('Row Level Master Sheet'!$K$2:$K$1001)-ROW('Row Level Master Sheet'!$K$2)+1)/('Row Level Master Sheet'!$C$2:$C$1001="Traditional"),ROWS($B$2:B418))),"")</f>
        <v/>
      </c>
    </row>
    <row r="419" spans="1:2" x14ac:dyDescent="0.35">
      <c r="A419" cm="1">
        <f t="array" ref="A419">IFERROR(INDEX('Row Level Master Sheet'!$K$2:$K$1001,_xlfn.AGGREGATE(15,6,(ROW('Row Level Master Sheet'!$K$2:$K$1001)-ROW('Row Level Master Sheet'!$K$2)+1)/('Row Level Master Sheet'!$C$2:$C$1001="Digital"),ROWS($A$2:A419))),"")</f>
        <v>0.86</v>
      </c>
      <c r="B419" s="39" t="str" cm="1">
        <f t="array" ref="B419">IFERROR(INDEX('Row Level Master Sheet'!$K$2:$K$1001,_xlfn.AGGREGATE(15,6,(ROW('Row Level Master Sheet'!$K$2:$K$1001)-ROW('Row Level Master Sheet'!$K$2)+1)/('Row Level Master Sheet'!$C$2:$C$1001="Traditional"),ROWS($B$2:B419))),"")</f>
        <v/>
      </c>
    </row>
    <row r="420" spans="1:2" x14ac:dyDescent="0.35">
      <c r="A420" cm="1">
        <f t="array" ref="A420">IFERROR(INDEX('Row Level Master Sheet'!$K$2:$K$1001,_xlfn.AGGREGATE(15,6,(ROW('Row Level Master Sheet'!$K$2:$K$1001)-ROW('Row Level Master Sheet'!$K$2)+1)/('Row Level Master Sheet'!$C$2:$C$1001="Digital"),ROWS($A$2:A420))),"")</f>
        <v>0.8600000000000001</v>
      </c>
      <c r="B420" s="39" t="str" cm="1">
        <f t="array" ref="B420">IFERROR(INDEX('Row Level Master Sheet'!$K$2:$K$1001,_xlfn.AGGREGATE(15,6,(ROW('Row Level Master Sheet'!$K$2:$K$1001)-ROW('Row Level Master Sheet'!$K$2)+1)/('Row Level Master Sheet'!$C$2:$C$1001="Traditional"),ROWS($B$2:B420))),"")</f>
        <v/>
      </c>
    </row>
    <row r="421" spans="1:2" x14ac:dyDescent="0.35">
      <c r="A421" cm="1">
        <f t="array" ref="A421">IFERROR(INDEX('Row Level Master Sheet'!$K$2:$K$1001,_xlfn.AGGREGATE(15,6,(ROW('Row Level Master Sheet'!$K$2:$K$1001)-ROW('Row Level Master Sheet'!$K$2)+1)/('Row Level Master Sheet'!$C$2:$C$1001="Digital"),ROWS($A$2:A421))),"")</f>
        <v>0.86000000000000021</v>
      </c>
      <c r="B421" s="39" t="str" cm="1">
        <f t="array" ref="B421">IFERROR(INDEX('Row Level Master Sheet'!$K$2:$K$1001,_xlfn.AGGREGATE(15,6,(ROW('Row Level Master Sheet'!$K$2:$K$1001)-ROW('Row Level Master Sheet'!$K$2)+1)/('Row Level Master Sheet'!$C$2:$C$1001="Traditional"),ROWS($B$2:B421))),"")</f>
        <v/>
      </c>
    </row>
    <row r="422" spans="1:2" x14ac:dyDescent="0.35">
      <c r="A422" cm="1">
        <f t="array" ref="A422">IFERROR(INDEX('Row Level Master Sheet'!$K$2:$K$1001,_xlfn.AGGREGATE(15,6,(ROW('Row Level Master Sheet'!$K$2:$K$1001)-ROW('Row Level Master Sheet'!$K$2)+1)/('Row Level Master Sheet'!$C$2:$C$1001="Digital"),ROWS($A$2:A422))),"")</f>
        <v>0.86999999999999988</v>
      </c>
      <c r="B422" s="39" t="str" cm="1">
        <f t="array" ref="B422">IFERROR(INDEX('Row Level Master Sheet'!$K$2:$K$1001,_xlfn.AGGREGATE(15,6,(ROW('Row Level Master Sheet'!$K$2:$K$1001)-ROW('Row Level Master Sheet'!$K$2)+1)/('Row Level Master Sheet'!$C$2:$C$1001="Traditional"),ROWS($B$2:B422))),"")</f>
        <v/>
      </c>
    </row>
    <row r="423" spans="1:2" x14ac:dyDescent="0.35">
      <c r="A423" cm="1">
        <f t="array" ref="A423">IFERROR(INDEX('Row Level Master Sheet'!$K$2:$K$1001,_xlfn.AGGREGATE(15,6,(ROW('Row Level Master Sheet'!$K$2:$K$1001)-ROW('Row Level Master Sheet'!$K$2)+1)/('Row Level Master Sheet'!$C$2:$C$1001="Digital"),ROWS($A$2:A423))),"")</f>
        <v>0.87</v>
      </c>
      <c r="B423" s="39" t="str" cm="1">
        <f t="array" ref="B423">IFERROR(INDEX('Row Level Master Sheet'!$K$2:$K$1001,_xlfn.AGGREGATE(15,6,(ROW('Row Level Master Sheet'!$K$2:$K$1001)-ROW('Row Level Master Sheet'!$K$2)+1)/('Row Level Master Sheet'!$C$2:$C$1001="Traditional"),ROWS($B$2:B423))),"")</f>
        <v/>
      </c>
    </row>
    <row r="424" spans="1:2" x14ac:dyDescent="0.35">
      <c r="A424" cm="1">
        <f t="array" ref="A424">IFERROR(INDEX('Row Level Master Sheet'!$K$2:$K$1001,_xlfn.AGGREGATE(15,6,(ROW('Row Level Master Sheet'!$K$2:$K$1001)-ROW('Row Level Master Sheet'!$K$2)+1)/('Row Level Master Sheet'!$C$2:$C$1001="Digital"),ROWS($A$2:A424))),"")</f>
        <v>0.87000000000000011</v>
      </c>
      <c r="B424" s="39" t="str" cm="1">
        <f t="array" ref="B424">IFERROR(INDEX('Row Level Master Sheet'!$K$2:$K$1001,_xlfn.AGGREGATE(15,6,(ROW('Row Level Master Sheet'!$K$2:$K$1001)-ROW('Row Level Master Sheet'!$K$2)+1)/('Row Level Master Sheet'!$C$2:$C$1001="Traditional"),ROWS($B$2:B424))),"")</f>
        <v/>
      </c>
    </row>
    <row r="425" spans="1:2" x14ac:dyDescent="0.35">
      <c r="A425" cm="1">
        <f t="array" ref="A425">IFERROR(INDEX('Row Level Master Sheet'!$K$2:$K$1001,_xlfn.AGGREGATE(15,6,(ROW('Row Level Master Sheet'!$K$2:$K$1001)-ROW('Row Level Master Sheet'!$K$2)+1)/('Row Level Master Sheet'!$C$2:$C$1001="Digital"),ROWS($A$2:A425))),"")</f>
        <v>0.87000000000000011</v>
      </c>
      <c r="B425" s="39" t="str" cm="1">
        <f t="array" ref="B425">IFERROR(INDEX('Row Level Master Sheet'!$K$2:$K$1001,_xlfn.AGGREGATE(15,6,(ROW('Row Level Master Sheet'!$K$2:$K$1001)-ROW('Row Level Master Sheet'!$K$2)+1)/('Row Level Master Sheet'!$C$2:$C$1001="Traditional"),ROWS($B$2:B425))),"")</f>
        <v/>
      </c>
    </row>
    <row r="426" spans="1:2" x14ac:dyDescent="0.35">
      <c r="A426" cm="1">
        <f t="array" ref="A426">IFERROR(INDEX('Row Level Master Sheet'!$K$2:$K$1001,_xlfn.AGGREGATE(15,6,(ROW('Row Level Master Sheet'!$K$2:$K$1001)-ROW('Row Level Master Sheet'!$K$2)+1)/('Row Level Master Sheet'!$C$2:$C$1001="Digital"),ROWS($A$2:A426))),"")</f>
        <v>0.87999999999999989</v>
      </c>
      <c r="B426" s="39" t="str" cm="1">
        <f t="array" ref="B426">IFERROR(INDEX('Row Level Master Sheet'!$K$2:$K$1001,_xlfn.AGGREGATE(15,6,(ROW('Row Level Master Sheet'!$K$2:$K$1001)-ROW('Row Level Master Sheet'!$K$2)+1)/('Row Level Master Sheet'!$C$2:$C$1001="Traditional"),ROWS($B$2:B426))),"")</f>
        <v/>
      </c>
    </row>
    <row r="427" spans="1:2" x14ac:dyDescent="0.35">
      <c r="A427" cm="1">
        <f t="array" ref="A427">IFERROR(INDEX('Row Level Master Sheet'!$K$2:$K$1001,_xlfn.AGGREGATE(15,6,(ROW('Row Level Master Sheet'!$K$2:$K$1001)-ROW('Row Level Master Sheet'!$K$2)+1)/('Row Level Master Sheet'!$C$2:$C$1001="Digital"),ROWS($A$2:A427))),"")</f>
        <v>0.88</v>
      </c>
      <c r="B427" s="39" t="str" cm="1">
        <f t="array" ref="B427">IFERROR(INDEX('Row Level Master Sheet'!$K$2:$K$1001,_xlfn.AGGREGATE(15,6,(ROW('Row Level Master Sheet'!$K$2:$K$1001)-ROW('Row Level Master Sheet'!$K$2)+1)/('Row Level Master Sheet'!$C$2:$C$1001="Traditional"),ROWS($B$2:B427))),"")</f>
        <v/>
      </c>
    </row>
    <row r="428" spans="1:2" x14ac:dyDescent="0.35">
      <c r="A428" cm="1">
        <f t="array" ref="A428">IFERROR(INDEX('Row Level Master Sheet'!$K$2:$K$1001,_xlfn.AGGREGATE(15,6,(ROW('Row Level Master Sheet'!$K$2:$K$1001)-ROW('Row Level Master Sheet'!$K$2)+1)/('Row Level Master Sheet'!$C$2:$C$1001="Digital"),ROWS($A$2:A428))),"")</f>
        <v>0.89</v>
      </c>
      <c r="B428" s="39" t="str" cm="1">
        <f t="array" ref="B428">IFERROR(INDEX('Row Level Master Sheet'!$K$2:$K$1001,_xlfn.AGGREGATE(15,6,(ROW('Row Level Master Sheet'!$K$2:$K$1001)-ROW('Row Level Master Sheet'!$K$2)+1)/('Row Level Master Sheet'!$C$2:$C$1001="Traditional"),ROWS($B$2:B428))),"")</f>
        <v/>
      </c>
    </row>
    <row r="429" spans="1:2" x14ac:dyDescent="0.35">
      <c r="A429" cm="1">
        <f t="array" ref="A429">IFERROR(INDEX('Row Level Master Sheet'!$K$2:$K$1001,_xlfn.AGGREGATE(15,6,(ROW('Row Level Master Sheet'!$K$2:$K$1001)-ROW('Row Level Master Sheet'!$K$2)+1)/('Row Level Master Sheet'!$C$2:$C$1001="Digital"),ROWS($A$2:A429))),"")</f>
        <v>0.89</v>
      </c>
      <c r="B429" s="39" t="str" cm="1">
        <f t="array" ref="B429">IFERROR(INDEX('Row Level Master Sheet'!$K$2:$K$1001,_xlfn.AGGREGATE(15,6,(ROW('Row Level Master Sheet'!$K$2:$K$1001)-ROW('Row Level Master Sheet'!$K$2)+1)/('Row Level Master Sheet'!$C$2:$C$1001="Traditional"),ROWS($B$2:B429))),"")</f>
        <v/>
      </c>
    </row>
    <row r="430" spans="1:2" x14ac:dyDescent="0.35">
      <c r="A430" cm="1">
        <f t="array" ref="A430">IFERROR(INDEX('Row Level Master Sheet'!$K$2:$K$1001,_xlfn.AGGREGATE(15,6,(ROW('Row Level Master Sheet'!$K$2:$K$1001)-ROW('Row Level Master Sheet'!$K$2)+1)/('Row Level Master Sheet'!$C$2:$C$1001="Digital"),ROWS($A$2:A430))),"")</f>
        <v>0.89999999999999991</v>
      </c>
      <c r="B430" s="39" t="str" cm="1">
        <f t="array" ref="B430">IFERROR(INDEX('Row Level Master Sheet'!$K$2:$K$1001,_xlfn.AGGREGATE(15,6,(ROW('Row Level Master Sheet'!$K$2:$K$1001)-ROW('Row Level Master Sheet'!$K$2)+1)/('Row Level Master Sheet'!$C$2:$C$1001="Traditional"),ROWS($B$2:B430))),"")</f>
        <v/>
      </c>
    </row>
    <row r="431" spans="1:2" x14ac:dyDescent="0.35">
      <c r="A431" cm="1">
        <f t="array" ref="A431">IFERROR(INDEX('Row Level Master Sheet'!$K$2:$K$1001,_xlfn.AGGREGATE(15,6,(ROW('Row Level Master Sheet'!$K$2:$K$1001)-ROW('Row Level Master Sheet'!$K$2)+1)/('Row Level Master Sheet'!$C$2:$C$1001="Digital"),ROWS($A$2:A431))),"")</f>
        <v>0.90999999999999992</v>
      </c>
      <c r="B431" s="39" t="str" cm="1">
        <f t="array" ref="B431">IFERROR(INDEX('Row Level Master Sheet'!$K$2:$K$1001,_xlfn.AGGREGATE(15,6,(ROW('Row Level Master Sheet'!$K$2:$K$1001)-ROW('Row Level Master Sheet'!$K$2)+1)/('Row Level Master Sheet'!$C$2:$C$1001="Traditional"),ROWS($B$2:B431))),"")</f>
        <v/>
      </c>
    </row>
    <row r="432" spans="1:2" x14ac:dyDescent="0.35">
      <c r="A432" cm="1">
        <f t="array" ref="A432">IFERROR(INDEX('Row Level Master Sheet'!$K$2:$K$1001,_xlfn.AGGREGATE(15,6,(ROW('Row Level Master Sheet'!$K$2:$K$1001)-ROW('Row Level Master Sheet'!$K$2)+1)/('Row Level Master Sheet'!$C$2:$C$1001="Digital"),ROWS($A$2:A432))),"")</f>
        <v>0.90999999999999992</v>
      </c>
      <c r="B432" s="39" t="str" cm="1">
        <f t="array" ref="B432">IFERROR(INDEX('Row Level Master Sheet'!$K$2:$K$1001,_xlfn.AGGREGATE(15,6,(ROW('Row Level Master Sheet'!$K$2:$K$1001)-ROW('Row Level Master Sheet'!$K$2)+1)/('Row Level Master Sheet'!$C$2:$C$1001="Traditional"),ROWS($B$2:B432))),"")</f>
        <v/>
      </c>
    </row>
    <row r="433" spans="1:2" x14ac:dyDescent="0.35">
      <c r="A433" cm="1">
        <f t="array" ref="A433">IFERROR(INDEX('Row Level Master Sheet'!$K$2:$K$1001,_xlfn.AGGREGATE(15,6,(ROW('Row Level Master Sheet'!$K$2:$K$1001)-ROW('Row Level Master Sheet'!$K$2)+1)/('Row Level Master Sheet'!$C$2:$C$1001="Digital"),ROWS($A$2:A433))),"")</f>
        <v>0.91</v>
      </c>
      <c r="B433" s="39" t="str" cm="1">
        <f t="array" ref="B433">IFERROR(INDEX('Row Level Master Sheet'!$K$2:$K$1001,_xlfn.AGGREGATE(15,6,(ROW('Row Level Master Sheet'!$K$2:$K$1001)-ROW('Row Level Master Sheet'!$K$2)+1)/('Row Level Master Sheet'!$C$2:$C$1001="Traditional"),ROWS($B$2:B433))),"")</f>
        <v/>
      </c>
    </row>
    <row r="434" spans="1:2" x14ac:dyDescent="0.35">
      <c r="A434" cm="1">
        <f t="array" ref="A434">IFERROR(INDEX('Row Level Master Sheet'!$K$2:$K$1001,_xlfn.AGGREGATE(15,6,(ROW('Row Level Master Sheet'!$K$2:$K$1001)-ROW('Row Level Master Sheet'!$K$2)+1)/('Row Level Master Sheet'!$C$2:$C$1001="Digital"),ROWS($A$2:A434))),"")</f>
        <v>0.91000000000000014</v>
      </c>
      <c r="B434" s="39" t="str" cm="1">
        <f t="array" ref="B434">IFERROR(INDEX('Row Level Master Sheet'!$K$2:$K$1001,_xlfn.AGGREGATE(15,6,(ROW('Row Level Master Sheet'!$K$2:$K$1001)-ROW('Row Level Master Sheet'!$K$2)+1)/('Row Level Master Sheet'!$C$2:$C$1001="Traditional"),ROWS($B$2:B434))),"")</f>
        <v/>
      </c>
    </row>
    <row r="435" spans="1:2" x14ac:dyDescent="0.35">
      <c r="A435" cm="1">
        <f t="array" ref="A435">IFERROR(INDEX('Row Level Master Sheet'!$K$2:$K$1001,_xlfn.AGGREGATE(15,6,(ROW('Row Level Master Sheet'!$K$2:$K$1001)-ROW('Row Level Master Sheet'!$K$2)+1)/('Row Level Master Sheet'!$C$2:$C$1001="Digital"),ROWS($A$2:A435))),"")</f>
        <v>0.91000000000000014</v>
      </c>
      <c r="B435" s="39" t="str" cm="1">
        <f t="array" ref="B435">IFERROR(INDEX('Row Level Master Sheet'!$K$2:$K$1001,_xlfn.AGGREGATE(15,6,(ROW('Row Level Master Sheet'!$K$2:$K$1001)-ROW('Row Level Master Sheet'!$K$2)+1)/('Row Level Master Sheet'!$C$2:$C$1001="Traditional"),ROWS($B$2:B435))),"")</f>
        <v/>
      </c>
    </row>
    <row r="436" spans="1:2" x14ac:dyDescent="0.35">
      <c r="A436" cm="1">
        <f t="array" ref="A436">IFERROR(INDEX('Row Level Master Sheet'!$K$2:$K$1001,_xlfn.AGGREGATE(15,6,(ROW('Row Level Master Sheet'!$K$2:$K$1001)-ROW('Row Level Master Sheet'!$K$2)+1)/('Row Level Master Sheet'!$C$2:$C$1001="Digital"),ROWS($A$2:A436))),"")</f>
        <v>0.91000000000000014</v>
      </c>
      <c r="B436" s="39" t="str" cm="1">
        <f t="array" ref="B436">IFERROR(INDEX('Row Level Master Sheet'!$K$2:$K$1001,_xlfn.AGGREGATE(15,6,(ROW('Row Level Master Sheet'!$K$2:$K$1001)-ROW('Row Level Master Sheet'!$K$2)+1)/('Row Level Master Sheet'!$C$2:$C$1001="Traditional"),ROWS($B$2:B436))),"")</f>
        <v/>
      </c>
    </row>
    <row r="437" spans="1:2" x14ac:dyDescent="0.35">
      <c r="A437" cm="1">
        <f t="array" ref="A437">IFERROR(INDEX('Row Level Master Sheet'!$K$2:$K$1001,_xlfn.AGGREGATE(15,6,(ROW('Row Level Master Sheet'!$K$2:$K$1001)-ROW('Row Level Master Sheet'!$K$2)+1)/('Row Level Master Sheet'!$C$2:$C$1001="Digital"),ROWS($A$2:A437))),"")</f>
        <v>0.91999999999999982</v>
      </c>
      <c r="B437" s="39" t="str" cm="1">
        <f t="array" ref="B437">IFERROR(INDEX('Row Level Master Sheet'!$K$2:$K$1001,_xlfn.AGGREGATE(15,6,(ROW('Row Level Master Sheet'!$K$2:$K$1001)-ROW('Row Level Master Sheet'!$K$2)+1)/('Row Level Master Sheet'!$C$2:$C$1001="Traditional"),ROWS($B$2:B437))),"")</f>
        <v/>
      </c>
    </row>
    <row r="438" spans="1:2" x14ac:dyDescent="0.35">
      <c r="A438" cm="1">
        <f t="array" ref="A438">IFERROR(INDEX('Row Level Master Sheet'!$K$2:$K$1001,_xlfn.AGGREGATE(15,6,(ROW('Row Level Master Sheet'!$K$2:$K$1001)-ROW('Row Level Master Sheet'!$K$2)+1)/('Row Level Master Sheet'!$C$2:$C$1001="Digital"),ROWS($A$2:A438))),"")</f>
        <v>0.91999999999999982</v>
      </c>
      <c r="B438" s="39" t="str" cm="1">
        <f t="array" ref="B438">IFERROR(INDEX('Row Level Master Sheet'!$K$2:$K$1001,_xlfn.AGGREGATE(15,6,(ROW('Row Level Master Sheet'!$K$2:$K$1001)-ROW('Row Level Master Sheet'!$K$2)+1)/('Row Level Master Sheet'!$C$2:$C$1001="Traditional"),ROWS($B$2:B438))),"")</f>
        <v/>
      </c>
    </row>
    <row r="439" spans="1:2" x14ac:dyDescent="0.35">
      <c r="A439" cm="1">
        <f t="array" ref="A439">IFERROR(INDEX('Row Level Master Sheet'!$K$2:$K$1001,_xlfn.AGGREGATE(15,6,(ROW('Row Level Master Sheet'!$K$2:$K$1001)-ROW('Row Level Master Sheet'!$K$2)+1)/('Row Level Master Sheet'!$C$2:$C$1001="Digital"),ROWS($A$2:A439))),"")</f>
        <v>0.92</v>
      </c>
      <c r="B439" s="39" t="str" cm="1">
        <f t="array" ref="B439">IFERROR(INDEX('Row Level Master Sheet'!$K$2:$K$1001,_xlfn.AGGREGATE(15,6,(ROW('Row Level Master Sheet'!$K$2:$K$1001)-ROW('Row Level Master Sheet'!$K$2)+1)/('Row Level Master Sheet'!$C$2:$C$1001="Traditional"),ROWS($B$2:B439))),"")</f>
        <v/>
      </c>
    </row>
    <row r="440" spans="1:2" x14ac:dyDescent="0.35">
      <c r="A440" cm="1">
        <f t="array" ref="A440">IFERROR(INDEX('Row Level Master Sheet'!$K$2:$K$1001,_xlfn.AGGREGATE(15,6,(ROW('Row Level Master Sheet'!$K$2:$K$1001)-ROW('Row Level Master Sheet'!$K$2)+1)/('Row Level Master Sheet'!$C$2:$C$1001="Digital"),ROWS($A$2:A440))),"")</f>
        <v>0.92000000000000015</v>
      </c>
      <c r="B440" s="39" t="str" cm="1">
        <f t="array" ref="B440">IFERROR(INDEX('Row Level Master Sheet'!$K$2:$K$1001,_xlfn.AGGREGATE(15,6,(ROW('Row Level Master Sheet'!$K$2:$K$1001)-ROW('Row Level Master Sheet'!$K$2)+1)/('Row Level Master Sheet'!$C$2:$C$1001="Traditional"),ROWS($B$2:B440))),"")</f>
        <v/>
      </c>
    </row>
    <row r="441" spans="1:2" x14ac:dyDescent="0.35">
      <c r="A441" cm="1">
        <f t="array" ref="A441">IFERROR(INDEX('Row Level Master Sheet'!$K$2:$K$1001,_xlfn.AGGREGATE(15,6,(ROW('Row Level Master Sheet'!$K$2:$K$1001)-ROW('Row Level Master Sheet'!$K$2)+1)/('Row Level Master Sheet'!$C$2:$C$1001="Digital"),ROWS($A$2:A441))),"")</f>
        <v>0.92999999999999983</v>
      </c>
      <c r="B441" s="39" t="str" cm="1">
        <f t="array" ref="B441">IFERROR(INDEX('Row Level Master Sheet'!$K$2:$K$1001,_xlfn.AGGREGATE(15,6,(ROW('Row Level Master Sheet'!$K$2:$K$1001)-ROW('Row Level Master Sheet'!$K$2)+1)/('Row Level Master Sheet'!$C$2:$C$1001="Traditional"),ROWS($B$2:B441))),"")</f>
        <v/>
      </c>
    </row>
    <row r="442" spans="1:2" x14ac:dyDescent="0.35">
      <c r="A442" cm="1">
        <f t="array" ref="A442">IFERROR(INDEX('Row Level Master Sheet'!$K$2:$K$1001,_xlfn.AGGREGATE(15,6,(ROW('Row Level Master Sheet'!$K$2:$K$1001)-ROW('Row Level Master Sheet'!$K$2)+1)/('Row Level Master Sheet'!$C$2:$C$1001="Digital"),ROWS($A$2:A442))),"")</f>
        <v>0.92999999999999994</v>
      </c>
      <c r="B442" s="39" t="str" cm="1">
        <f t="array" ref="B442">IFERROR(INDEX('Row Level Master Sheet'!$K$2:$K$1001,_xlfn.AGGREGATE(15,6,(ROW('Row Level Master Sheet'!$K$2:$K$1001)-ROW('Row Level Master Sheet'!$K$2)+1)/('Row Level Master Sheet'!$C$2:$C$1001="Traditional"),ROWS($B$2:B442))),"")</f>
        <v/>
      </c>
    </row>
    <row r="443" spans="1:2" x14ac:dyDescent="0.35">
      <c r="A443" cm="1">
        <f t="array" ref="A443">IFERROR(INDEX('Row Level Master Sheet'!$K$2:$K$1001,_xlfn.AGGREGATE(15,6,(ROW('Row Level Master Sheet'!$K$2:$K$1001)-ROW('Row Level Master Sheet'!$K$2)+1)/('Row Level Master Sheet'!$C$2:$C$1001="Digital"),ROWS($A$2:A443))),"")</f>
        <v>0.93</v>
      </c>
      <c r="B443" s="39" t="str" cm="1">
        <f t="array" ref="B443">IFERROR(INDEX('Row Level Master Sheet'!$K$2:$K$1001,_xlfn.AGGREGATE(15,6,(ROW('Row Level Master Sheet'!$K$2:$K$1001)-ROW('Row Level Master Sheet'!$K$2)+1)/('Row Level Master Sheet'!$C$2:$C$1001="Traditional"),ROWS($B$2:B443))),"")</f>
        <v/>
      </c>
    </row>
    <row r="444" spans="1:2" x14ac:dyDescent="0.35">
      <c r="A444" cm="1">
        <f t="array" ref="A444">IFERROR(INDEX('Row Level Master Sheet'!$K$2:$K$1001,_xlfn.AGGREGATE(15,6,(ROW('Row Level Master Sheet'!$K$2:$K$1001)-ROW('Row Level Master Sheet'!$K$2)+1)/('Row Level Master Sheet'!$C$2:$C$1001="Digital"),ROWS($A$2:A444))),"")</f>
        <v>0.93</v>
      </c>
      <c r="B444" s="39" t="str" cm="1">
        <f t="array" ref="B444">IFERROR(INDEX('Row Level Master Sheet'!$K$2:$K$1001,_xlfn.AGGREGATE(15,6,(ROW('Row Level Master Sheet'!$K$2:$K$1001)-ROW('Row Level Master Sheet'!$K$2)+1)/('Row Level Master Sheet'!$C$2:$C$1001="Traditional"),ROWS($B$2:B444))),"")</f>
        <v/>
      </c>
    </row>
    <row r="445" spans="1:2" x14ac:dyDescent="0.35">
      <c r="A445" cm="1">
        <f t="array" ref="A445">IFERROR(INDEX('Row Level Master Sheet'!$K$2:$K$1001,_xlfn.AGGREGATE(15,6,(ROW('Row Level Master Sheet'!$K$2:$K$1001)-ROW('Row Level Master Sheet'!$K$2)+1)/('Row Level Master Sheet'!$C$2:$C$1001="Digital"),ROWS($A$2:A445))),"")</f>
        <v>0.93000000000000016</v>
      </c>
      <c r="B445" s="39" t="str" cm="1">
        <f t="array" ref="B445">IFERROR(INDEX('Row Level Master Sheet'!$K$2:$K$1001,_xlfn.AGGREGATE(15,6,(ROW('Row Level Master Sheet'!$K$2:$K$1001)-ROW('Row Level Master Sheet'!$K$2)+1)/('Row Level Master Sheet'!$C$2:$C$1001="Traditional"),ROWS($B$2:B445))),"")</f>
        <v/>
      </c>
    </row>
    <row r="446" spans="1:2" x14ac:dyDescent="0.35">
      <c r="A446" cm="1">
        <f t="array" ref="A446">IFERROR(INDEX('Row Level Master Sheet'!$K$2:$K$1001,_xlfn.AGGREGATE(15,6,(ROW('Row Level Master Sheet'!$K$2:$K$1001)-ROW('Row Level Master Sheet'!$K$2)+1)/('Row Level Master Sheet'!$C$2:$C$1001="Digital"),ROWS($A$2:A446))),"")</f>
        <v>0.93999999999999984</v>
      </c>
      <c r="B446" s="39" t="str" cm="1">
        <f t="array" ref="B446">IFERROR(INDEX('Row Level Master Sheet'!$K$2:$K$1001,_xlfn.AGGREGATE(15,6,(ROW('Row Level Master Sheet'!$K$2:$K$1001)-ROW('Row Level Master Sheet'!$K$2)+1)/('Row Level Master Sheet'!$C$2:$C$1001="Traditional"),ROWS($B$2:B446))),"")</f>
        <v/>
      </c>
    </row>
    <row r="447" spans="1:2" x14ac:dyDescent="0.35">
      <c r="A447" cm="1">
        <f t="array" ref="A447">IFERROR(INDEX('Row Level Master Sheet'!$K$2:$K$1001,_xlfn.AGGREGATE(15,6,(ROW('Row Level Master Sheet'!$K$2:$K$1001)-ROW('Row Level Master Sheet'!$K$2)+1)/('Row Level Master Sheet'!$C$2:$C$1001="Digital"),ROWS($A$2:A447))),"")</f>
        <v>0.94</v>
      </c>
      <c r="B447" s="39" t="str" cm="1">
        <f t="array" ref="B447">IFERROR(INDEX('Row Level Master Sheet'!$K$2:$K$1001,_xlfn.AGGREGATE(15,6,(ROW('Row Level Master Sheet'!$K$2:$K$1001)-ROW('Row Level Master Sheet'!$K$2)+1)/('Row Level Master Sheet'!$C$2:$C$1001="Traditional"),ROWS($B$2:B447))),"")</f>
        <v/>
      </c>
    </row>
    <row r="448" spans="1:2" x14ac:dyDescent="0.35">
      <c r="A448" cm="1">
        <f t="array" ref="A448">IFERROR(INDEX('Row Level Master Sheet'!$K$2:$K$1001,_xlfn.AGGREGATE(15,6,(ROW('Row Level Master Sheet'!$K$2:$K$1001)-ROW('Row Level Master Sheet'!$K$2)+1)/('Row Level Master Sheet'!$C$2:$C$1001="Digital"),ROWS($A$2:A448))),"")</f>
        <v>0.94</v>
      </c>
      <c r="B448" s="39" t="str" cm="1">
        <f t="array" ref="B448">IFERROR(INDEX('Row Level Master Sheet'!$K$2:$K$1001,_xlfn.AGGREGATE(15,6,(ROW('Row Level Master Sheet'!$K$2:$K$1001)-ROW('Row Level Master Sheet'!$K$2)+1)/('Row Level Master Sheet'!$C$2:$C$1001="Traditional"),ROWS($B$2:B448))),"")</f>
        <v/>
      </c>
    </row>
    <row r="449" spans="1:2" x14ac:dyDescent="0.35">
      <c r="A449" cm="1">
        <f t="array" ref="A449">IFERROR(INDEX('Row Level Master Sheet'!$K$2:$K$1001,_xlfn.AGGREGATE(15,6,(ROW('Row Level Master Sheet'!$K$2:$K$1001)-ROW('Row Level Master Sheet'!$K$2)+1)/('Row Level Master Sheet'!$C$2:$C$1001="Digital"),ROWS($A$2:A449))),"")</f>
        <v>0.94000000000000006</v>
      </c>
      <c r="B449" s="39" t="str" cm="1">
        <f t="array" ref="B449">IFERROR(INDEX('Row Level Master Sheet'!$K$2:$K$1001,_xlfn.AGGREGATE(15,6,(ROW('Row Level Master Sheet'!$K$2:$K$1001)-ROW('Row Level Master Sheet'!$K$2)+1)/('Row Level Master Sheet'!$C$2:$C$1001="Traditional"),ROWS($B$2:B449))),"")</f>
        <v/>
      </c>
    </row>
    <row r="450" spans="1:2" x14ac:dyDescent="0.35">
      <c r="A450" cm="1">
        <f t="array" ref="A450">IFERROR(INDEX('Row Level Master Sheet'!$K$2:$K$1001,_xlfn.AGGREGATE(15,6,(ROW('Row Level Master Sheet'!$K$2:$K$1001)-ROW('Row Level Master Sheet'!$K$2)+1)/('Row Level Master Sheet'!$C$2:$C$1001="Digital"),ROWS($A$2:A450))),"")</f>
        <v>0.94000000000000017</v>
      </c>
      <c r="B450" s="39" t="str" cm="1">
        <f t="array" ref="B450">IFERROR(INDEX('Row Level Master Sheet'!$K$2:$K$1001,_xlfn.AGGREGATE(15,6,(ROW('Row Level Master Sheet'!$K$2:$K$1001)-ROW('Row Level Master Sheet'!$K$2)+1)/('Row Level Master Sheet'!$C$2:$C$1001="Traditional"),ROWS($B$2:B450))),"")</f>
        <v/>
      </c>
    </row>
    <row r="451" spans="1:2" x14ac:dyDescent="0.35">
      <c r="A451" cm="1">
        <f t="array" ref="A451">IFERROR(INDEX('Row Level Master Sheet'!$K$2:$K$1001,_xlfn.AGGREGATE(15,6,(ROW('Row Level Master Sheet'!$K$2:$K$1001)-ROW('Row Level Master Sheet'!$K$2)+1)/('Row Level Master Sheet'!$C$2:$C$1001="Digital"),ROWS($A$2:A451))),"")</f>
        <v>0.95000000000000007</v>
      </c>
      <c r="B451" s="39" t="str" cm="1">
        <f t="array" ref="B451">IFERROR(INDEX('Row Level Master Sheet'!$K$2:$K$1001,_xlfn.AGGREGATE(15,6,(ROW('Row Level Master Sheet'!$K$2:$K$1001)-ROW('Row Level Master Sheet'!$K$2)+1)/('Row Level Master Sheet'!$C$2:$C$1001="Traditional"),ROWS($B$2:B451))),"")</f>
        <v/>
      </c>
    </row>
    <row r="452" spans="1:2" x14ac:dyDescent="0.35">
      <c r="A452" cm="1">
        <f t="array" ref="A452">IFERROR(INDEX('Row Level Master Sheet'!$K$2:$K$1001,_xlfn.AGGREGATE(15,6,(ROW('Row Level Master Sheet'!$K$2:$K$1001)-ROW('Row Level Master Sheet'!$K$2)+1)/('Row Level Master Sheet'!$C$2:$C$1001="Digital"),ROWS($A$2:A452))),"")</f>
        <v>0.95000000000000007</v>
      </c>
      <c r="B452" s="39" t="str" cm="1">
        <f t="array" ref="B452">IFERROR(INDEX('Row Level Master Sheet'!$K$2:$K$1001,_xlfn.AGGREGATE(15,6,(ROW('Row Level Master Sheet'!$K$2:$K$1001)-ROW('Row Level Master Sheet'!$K$2)+1)/('Row Level Master Sheet'!$C$2:$C$1001="Traditional"),ROWS($B$2:B452))),"")</f>
        <v/>
      </c>
    </row>
    <row r="453" spans="1:2" x14ac:dyDescent="0.35">
      <c r="A453" cm="1">
        <f t="array" ref="A453">IFERROR(INDEX('Row Level Master Sheet'!$K$2:$K$1001,_xlfn.AGGREGATE(15,6,(ROW('Row Level Master Sheet'!$K$2:$K$1001)-ROW('Row Level Master Sheet'!$K$2)+1)/('Row Level Master Sheet'!$C$2:$C$1001="Digital"),ROWS($A$2:A453))),"")</f>
        <v>0.95000000000000018</v>
      </c>
      <c r="B453" s="39" t="str" cm="1">
        <f t="array" ref="B453">IFERROR(INDEX('Row Level Master Sheet'!$K$2:$K$1001,_xlfn.AGGREGATE(15,6,(ROW('Row Level Master Sheet'!$K$2:$K$1001)-ROW('Row Level Master Sheet'!$K$2)+1)/('Row Level Master Sheet'!$C$2:$C$1001="Traditional"),ROWS($B$2:B453))),"")</f>
        <v/>
      </c>
    </row>
    <row r="454" spans="1:2" x14ac:dyDescent="0.35">
      <c r="A454" cm="1">
        <f t="array" ref="A454">IFERROR(INDEX('Row Level Master Sheet'!$K$2:$K$1001,_xlfn.AGGREGATE(15,6,(ROW('Row Level Master Sheet'!$K$2:$K$1001)-ROW('Row Level Master Sheet'!$K$2)+1)/('Row Level Master Sheet'!$C$2:$C$1001="Digital"),ROWS($A$2:A454))),"")</f>
        <v>0.95000000000000018</v>
      </c>
      <c r="B454" s="39" t="str" cm="1">
        <f t="array" ref="B454">IFERROR(INDEX('Row Level Master Sheet'!$K$2:$K$1001,_xlfn.AGGREGATE(15,6,(ROW('Row Level Master Sheet'!$K$2:$K$1001)-ROW('Row Level Master Sheet'!$K$2)+1)/('Row Level Master Sheet'!$C$2:$C$1001="Traditional"),ROWS($B$2:B454))),"")</f>
        <v/>
      </c>
    </row>
    <row r="455" spans="1:2" x14ac:dyDescent="0.35">
      <c r="A455" cm="1">
        <f t="array" ref="A455">IFERROR(INDEX('Row Level Master Sheet'!$K$2:$K$1001,_xlfn.AGGREGATE(15,6,(ROW('Row Level Master Sheet'!$K$2:$K$1001)-ROW('Row Level Master Sheet'!$K$2)+1)/('Row Level Master Sheet'!$C$2:$C$1001="Digital"),ROWS($A$2:A455))),"")</f>
        <v>0.95999999999999974</v>
      </c>
      <c r="B455" s="39" t="str" cm="1">
        <f t="array" ref="B455">IFERROR(INDEX('Row Level Master Sheet'!$K$2:$K$1001,_xlfn.AGGREGATE(15,6,(ROW('Row Level Master Sheet'!$K$2:$K$1001)-ROW('Row Level Master Sheet'!$K$2)+1)/('Row Level Master Sheet'!$C$2:$C$1001="Traditional"),ROWS($B$2:B455))),"")</f>
        <v/>
      </c>
    </row>
    <row r="456" spans="1:2" x14ac:dyDescent="0.35">
      <c r="A456" cm="1">
        <f t="array" ref="A456">IFERROR(INDEX('Row Level Master Sheet'!$K$2:$K$1001,_xlfn.AGGREGATE(15,6,(ROW('Row Level Master Sheet'!$K$2:$K$1001)-ROW('Row Level Master Sheet'!$K$2)+1)/('Row Level Master Sheet'!$C$2:$C$1001="Digital"),ROWS($A$2:A456))),"")</f>
        <v>0.95999999999999974</v>
      </c>
      <c r="B456" s="39" t="str" cm="1">
        <f t="array" ref="B456">IFERROR(INDEX('Row Level Master Sheet'!$K$2:$K$1001,_xlfn.AGGREGATE(15,6,(ROW('Row Level Master Sheet'!$K$2:$K$1001)-ROW('Row Level Master Sheet'!$K$2)+1)/('Row Level Master Sheet'!$C$2:$C$1001="Traditional"),ROWS($B$2:B456))),"")</f>
        <v/>
      </c>
    </row>
    <row r="457" spans="1:2" x14ac:dyDescent="0.35">
      <c r="A457" cm="1">
        <f t="array" ref="A457">IFERROR(INDEX('Row Level Master Sheet'!$K$2:$K$1001,_xlfn.AGGREGATE(15,6,(ROW('Row Level Master Sheet'!$K$2:$K$1001)-ROW('Row Level Master Sheet'!$K$2)+1)/('Row Level Master Sheet'!$C$2:$C$1001="Digital"),ROWS($A$2:A457))),"")</f>
        <v>0.96</v>
      </c>
      <c r="B457" s="39" t="str" cm="1">
        <f t="array" ref="B457">IFERROR(INDEX('Row Level Master Sheet'!$K$2:$K$1001,_xlfn.AGGREGATE(15,6,(ROW('Row Level Master Sheet'!$K$2:$K$1001)-ROW('Row Level Master Sheet'!$K$2)+1)/('Row Level Master Sheet'!$C$2:$C$1001="Traditional"),ROWS($B$2:B457))),"")</f>
        <v/>
      </c>
    </row>
    <row r="458" spans="1:2" x14ac:dyDescent="0.35">
      <c r="A458" cm="1">
        <f t="array" ref="A458">IFERROR(INDEX('Row Level Master Sheet'!$K$2:$K$1001,_xlfn.AGGREGATE(15,6,(ROW('Row Level Master Sheet'!$K$2:$K$1001)-ROW('Row Level Master Sheet'!$K$2)+1)/('Row Level Master Sheet'!$C$2:$C$1001="Digital"),ROWS($A$2:A458))),"")</f>
        <v>0.96000000000000019</v>
      </c>
      <c r="B458" s="39" t="str" cm="1">
        <f t="array" ref="B458">IFERROR(INDEX('Row Level Master Sheet'!$K$2:$K$1001,_xlfn.AGGREGATE(15,6,(ROW('Row Level Master Sheet'!$K$2:$K$1001)-ROW('Row Level Master Sheet'!$K$2)+1)/('Row Level Master Sheet'!$C$2:$C$1001="Traditional"),ROWS($B$2:B458))),"")</f>
        <v/>
      </c>
    </row>
    <row r="459" spans="1:2" x14ac:dyDescent="0.35">
      <c r="A459" cm="1">
        <f t="array" ref="A459">IFERROR(INDEX('Row Level Master Sheet'!$K$2:$K$1001,_xlfn.AGGREGATE(15,6,(ROW('Row Level Master Sheet'!$K$2:$K$1001)-ROW('Row Level Master Sheet'!$K$2)+1)/('Row Level Master Sheet'!$C$2:$C$1001="Digital"),ROWS($A$2:A459))),"")</f>
        <v>0.96999999999999975</v>
      </c>
      <c r="B459" s="39" t="str" cm="1">
        <f t="array" ref="B459">IFERROR(INDEX('Row Level Master Sheet'!$K$2:$K$1001,_xlfn.AGGREGATE(15,6,(ROW('Row Level Master Sheet'!$K$2:$K$1001)-ROW('Row Level Master Sheet'!$K$2)+1)/('Row Level Master Sheet'!$C$2:$C$1001="Traditional"),ROWS($B$2:B459))),"")</f>
        <v/>
      </c>
    </row>
    <row r="460" spans="1:2" x14ac:dyDescent="0.35">
      <c r="A460" cm="1">
        <f t="array" ref="A460">IFERROR(INDEX('Row Level Master Sheet'!$K$2:$K$1001,_xlfn.AGGREGATE(15,6,(ROW('Row Level Master Sheet'!$K$2:$K$1001)-ROW('Row Level Master Sheet'!$K$2)+1)/('Row Level Master Sheet'!$C$2:$C$1001="Digital"),ROWS($A$2:A460))),"")</f>
        <v>0.96999999999999975</v>
      </c>
      <c r="B460" s="39" t="str" cm="1">
        <f t="array" ref="B460">IFERROR(INDEX('Row Level Master Sheet'!$K$2:$K$1001,_xlfn.AGGREGATE(15,6,(ROW('Row Level Master Sheet'!$K$2:$K$1001)-ROW('Row Level Master Sheet'!$K$2)+1)/('Row Level Master Sheet'!$C$2:$C$1001="Traditional"),ROWS($B$2:B460))),"")</f>
        <v/>
      </c>
    </row>
    <row r="461" spans="1:2" x14ac:dyDescent="0.35">
      <c r="A461" cm="1">
        <f t="array" ref="A461">IFERROR(INDEX('Row Level Master Sheet'!$K$2:$K$1001,_xlfn.AGGREGATE(15,6,(ROW('Row Level Master Sheet'!$K$2:$K$1001)-ROW('Row Level Master Sheet'!$K$2)+1)/('Row Level Master Sheet'!$C$2:$C$1001="Digital"),ROWS($A$2:A461))),"")</f>
        <v>0.96999999999999975</v>
      </c>
      <c r="B461" s="39" t="str" cm="1">
        <f t="array" ref="B461">IFERROR(INDEX('Row Level Master Sheet'!$K$2:$K$1001,_xlfn.AGGREGATE(15,6,(ROW('Row Level Master Sheet'!$K$2:$K$1001)-ROW('Row Level Master Sheet'!$K$2)+1)/('Row Level Master Sheet'!$C$2:$C$1001="Traditional"),ROWS($B$2:B461))),"")</f>
        <v/>
      </c>
    </row>
    <row r="462" spans="1:2" x14ac:dyDescent="0.35">
      <c r="A462" cm="1">
        <f t="array" ref="A462">IFERROR(INDEX('Row Level Master Sheet'!$K$2:$K$1001,_xlfn.AGGREGATE(15,6,(ROW('Row Level Master Sheet'!$K$2:$K$1001)-ROW('Row Level Master Sheet'!$K$2)+1)/('Row Level Master Sheet'!$C$2:$C$1001="Digital"),ROWS($A$2:A462))),"")</f>
        <v>0.96999999999999986</v>
      </c>
      <c r="B462" s="39" t="str" cm="1">
        <f t="array" ref="B462">IFERROR(INDEX('Row Level Master Sheet'!$K$2:$K$1001,_xlfn.AGGREGATE(15,6,(ROW('Row Level Master Sheet'!$K$2:$K$1001)-ROW('Row Level Master Sheet'!$K$2)+1)/('Row Level Master Sheet'!$C$2:$C$1001="Traditional"),ROWS($B$2:B462))),"")</f>
        <v/>
      </c>
    </row>
    <row r="463" spans="1:2" x14ac:dyDescent="0.35">
      <c r="A463" cm="1">
        <f t="array" ref="A463">IFERROR(INDEX('Row Level Master Sheet'!$K$2:$K$1001,_xlfn.AGGREGATE(15,6,(ROW('Row Level Master Sheet'!$K$2:$K$1001)-ROW('Row Level Master Sheet'!$K$2)+1)/('Row Level Master Sheet'!$C$2:$C$1001="Digital"),ROWS($A$2:A463))),"")</f>
        <v>0.97</v>
      </c>
      <c r="B463" s="39" t="str" cm="1">
        <f t="array" ref="B463">IFERROR(INDEX('Row Level Master Sheet'!$K$2:$K$1001,_xlfn.AGGREGATE(15,6,(ROW('Row Level Master Sheet'!$K$2:$K$1001)-ROW('Row Level Master Sheet'!$K$2)+1)/('Row Level Master Sheet'!$C$2:$C$1001="Traditional"),ROWS($B$2:B463))),"")</f>
        <v/>
      </c>
    </row>
    <row r="464" spans="1:2" x14ac:dyDescent="0.35">
      <c r="A464" cm="1">
        <f t="array" ref="A464">IFERROR(INDEX('Row Level Master Sheet'!$K$2:$K$1001,_xlfn.AGGREGATE(15,6,(ROW('Row Level Master Sheet'!$K$2:$K$1001)-ROW('Row Level Master Sheet'!$K$2)+1)/('Row Level Master Sheet'!$C$2:$C$1001="Digital"),ROWS($A$2:A464))),"")</f>
        <v>0.97000000000000008</v>
      </c>
      <c r="B464" s="39" t="str" cm="1">
        <f t="array" ref="B464">IFERROR(INDEX('Row Level Master Sheet'!$K$2:$K$1001,_xlfn.AGGREGATE(15,6,(ROW('Row Level Master Sheet'!$K$2:$K$1001)-ROW('Row Level Master Sheet'!$K$2)+1)/('Row Level Master Sheet'!$C$2:$C$1001="Traditional"),ROWS($B$2:B464))),"")</f>
        <v/>
      </c>
    </row>
    <row r="465" spans="1:2" x14ac:dyDescent="0.35">
      <c r="A465" cm="1">
        <f t="array" ref="A465">IFERROR(INDEX('Row Level Master Sheet'!$K$2:$K$1001,_xlfn.AGGREGATE(15,6,(ROW('Row Level Master Sheet'!$K$2:$K$1001)-ROW('Row Level Master Sheet'!$K$2)+1)/('Row Level Master Sheet'!$C$2:$C$1001="Digital"),ROWS($A$2:A465))),"")</f>
        <v>0.97000000000000008</v>
      </c>
      <c r="B465" s="39" t="str" cm="1">
        <f t="array" ref="B465">IFERROR(INDEX('Row Level Master Sheet'!$K$2:$K$1001,_xlfn.AGGREGATE(15,6,(ROW('Row Level Master Sheet'!$K$2:$K$1001)-ROW('Row Level Master Sheet'!$K$2)+1)/('Row Level Master Sheet'!$C$2:$C$1001="Traditional"),ROWS($B$2:B465))),"")</f>
        <v/>
      </c>
    </row>
    <row r="466" spans="1:2" x14ac:dyDescent="0.35">
      <c r="A466" cm="1">
        <f t="array" ref="A466">IFERROR(INDEX('Row Level Master Sheet'!$K$2:$K$1001,_xlfn.AGGREGATE(15,6,(ROW('Row Level Master Sheet'!$K$2:$K$1001)-ROW('Row Level Master Sheet'!$K$2)+1)/('Row Level Master Sheet'!$C$2:$C$1001="Digital"),ROWS($A$2:A466))),"")</f>
        <v>0.97999999999999987</v>
      </c>
      <c r="B466" s="39" t="str" cm="1">
        <f t="array" ref="B466">IFERROR(INDEX('Row Level Master Sheet'!$K$2:$K$1001,_xlfn.AGGREGATE(15,6,(ROW('Row Level Master Sheet'!$K$2:$K$1001)-ROW('Row Level Master Sheet'!$K$2)+1)/('Row Level Master Sheet'!$C$2:$C$1001="Traditional"),ROWS($B$2:B466))),"")</f>
        <v/>
      </c>
    </row>
    <row r="467" spans="1:2" x14ac:dyDescent="0.35">
      <c r="A467" cm="1">
        <f t="array" ref="A467">IFERROR(INDEX('Row Level Master Sheet'!$K$2:$K$1001,_xlfn.AGGREGATE(15,6,(ROW('Row Level Master Sheet'!$K$2:$K$1001)-ROW('Row Level Master Sheet'!$K$2)+1)/('Row Level Master Sheet'!$C$2:$C$1001="Digital"),ROWS($A$2:A467))),"")</f>
        <v>0.97999999999999987</v>
      </c>
      <c r="B467" s="39" t="str" cm="1">
        <f t="array" ref="B467">IFERROR(INDEX('Row Level Master Sheet'!$K$2:$K$1001,_xlfn.AGGREGATE(15,6,(ROW('Row Level Master Sheet'!$K$2:$K$1001)-ROW('Row Level Master Sheet'!$K$2)+1)/('Row Level Master Sheet'!$C$2:$C$1001="Traditional"),ROWS($B$2:B467))),"")</f>
        <v/>
      </c>
    </row>
    <row r="468" spans="1:2" x14ac:dyDescent="0.35">
      <c r="A468" cm="1">
        <f t="array" ref="A468">IFERROR(INDEX('Row Level Master Sheet'!$K$2:$K$1001,_xlfn.AGGREGATE(15,6,(ROW('Row Level Master Sheet'!$K$2:$K$1001)-ROW('Row Level Master Sheet'!$K$2)+1)/('Row Level Master Sheet'!$C$2:$C$1001="Digital"),ROWS($A$2:A468))),"")</f>
        <v>0.98</v>
      </c>
      <c r="B468" s="39" t="str" cm="1">
        <f t="array" ref="B468">IFERROR(INDEX('Row Level Master Sheet'!$K$2:$K$1001,_xlfn.AGGREGATE(15,6,(ROW('Row Level Master Sheet'!$K$2:$K$1001)-ROW('Row Level Master Sheet'!$K$2)+1)/('Row Level Master Sheet'!$C$2:$C$1001="Traditional"),ROWS($B$2:B468))),"")</f>
        <v/>
      </c>
    </row>
    <row r="469" spans="1:2" x14ac:dyDescent="0.35">
      <c r="A469" cm="1">
        <f t="array" ref="A469">IFERROR(INDEX('Row Level Master Sheet'!$K$2:$K$1001,_xlfn.AGGREGATE(15,6,(ROW('Row Level Master Sheet'!$K$2:$K$1001)-ROW('Row Level Master Sheet'!$K$2)+1)/('Row Level Master Sheet'!$C$2:$C$1001="Digital"),ROWS($A$2:A469))),"")</f>
        <v>0.98</v>
      </c>
      <c r="B469" s="39" t="str" cm="1">
        <f t="array" ref="B469">IFERROR(INDEX('Row Level Master Sheet'!$K$2:$K$1001,_xlfn.AGGREGATE(15,6,(ROW('Row Level Master Sheet'!$K$2:$K$1001)-ROW('Row Level Master Sheet'!$K$2)+1)/('Row Level Master Sheet'!$C$2:$C$1001="Traditional"),ROWS($B$2:B469))),"")</f>
        <v/>
      </c>
    </row>
    <row r="470" spans="1:2" x14ac:dyDescent="0.35">
      <c r="A470" cm="1">
        <f t="array" ref="A470">IFERROR(INDEX('Row Level Master Sheet'!$K$2:$K$1001,_xlfn.AGGREGATE(15,6,(ROW('Row Level Master Sheet'!$K$2:$K$1001)-ROW('Row Level Master Sheet'!$K$2)+1)/('Row Level Master Sheet'!$C$2:$C$1001="Digital"),ROWS($A$2:A470))),"")</f>
        <v>0.98000000000000009</v>
      </c>
      <c r="B470" s="39" t="str" cm="1">
        <f t="array" ref="B470">IFERROR(INDEX('Row Level Master Sheet'!$K$2:$K$1001,_xlfn.AGGREGATE(15,6,(ROW('Row Level Master Sheet'!$K$2:$K$1001)-ROW('Row Level Master Sheet'!$K$2)+1)/('Row Level Master Sheet'!$C$2:$C$1001="Traditional"),ROWS($B$2:B470))),"")</f>
        <v/>
      </c>
    </row>
    <row r="471" spans="1:2" x14ac:dyDescent="0.35">
      <c r="A471" cm="1">
        <f t="array" ref="A471">IFERROR(INDEX('Row Level Master Sheet'!$K$2:$K$1001,_xlfn.AGGREGATE(15,6,(ROW('Row Level Master Sheet'!$K$2:$K$1001)-ROW('Row Level Master Sheet'!$K$2)+1)/('Row Level Master Sheet'!$C$2:$C$1001="Digital"),ROWS($A$2:A471))),"")</f>
        <v>0.99</v>
      </c>
      <c r="B471" s="39" t="str" cm="1">
        <f t="array" ref="B471">IFERROR(INDEX('Row Level Master Sheet'!$K$2:$K$1001,_xlfn.AGGREGATE(15,6,(ROW('Row Level Master Sheet'!$K$2:$K$1001)-ROW('Row Level Master Sheet'!$K$2)+1)/('Row Level Master Sheet'!$C$2:$C$1001="Traditional"),ROWS($B$2:B471))),"")</f>
        <v/>
      </c>
    </row>
    <row r="472" spans="1:2" x14ac:dyDescent="0.35">
      <c r="A472" cm="1">
        <f t="array" ref="A472">IFERROR(INDEX('Row Level Master Sheet'!$K$2:$K$1001,_xlfn.AGGREGATE(15,6,(ROW('Row Level Master Sheet'!$K$2:$K$1001)-ROW('Row Level Master Sheet'!$K$2)+1)/('Row Level Master Sheet'!$C$2:$C$1001="Digital"),ROWS($A$2:A472))),"")</f>
        <v>0.99</v>
      </c>
      <c r="B472" s="39" t="str" cm="1">
        <f t="array" ref="B472">IFERROR(INDEX('Row Level Master Sheet'!$K$2:$K$1001,_xlfn.AGGREGATE(15,6,(ROW('Row Level Master Sheet'!$K$2:$K$1001)-ROW('Row Level Master Sheet'!$K$2)+1)/('Row Level Master Sheet'!$C$2:$C$1001="Traditional"),ROWS($B$2:B472))),"")</f>
        <v/>
      </c>
    </row>
    <row r="473" spans="1:2" x14ac:dyDescent="0.35">
      <c r="A473" cm="1">
        <f t="array" ref="A473">IFERROR(INDEX('Row Level Master Sheet'!$K$2:$K$1001,_xlfn.AGGREGATE(15,6,(ROW('Row Level Master Sheet'!$K$2:$K$1001)-ROW('Row Level Master Sheet'!$K$2)+1)/('Row Level Master Sheet'!$C$2:$C$1001="Digital"),ROWS($A$2:A473))),"")</f>
        <v>1</v>
      </c>
      <c r="B473" s="39" t="str" cm="1">
        <f t="array" ref="B473">IFERROR(INDEX('Row Level Master Sheet'!$K$2:$K$1001,_xlfn.AGGREGATE(15,6,(ROW('Row Level Master Sheet'!$K$2:$K$1001)-ROW('Row Level Master Sheet'!$K$2)+1)/('Row Level Master Sheet'!$C$2:$C$1001="Traditional"),ROWS($B$2:B473))),"")</f>
        <v/>
      </c>
    </row>
    <row r="474" spans="1:2" x14ac:dyDescent="0.35">
      <c r="A474" cm="1">
        <f t="array" ref="A474">IFERROR(INDEX('Row Level Master Sheet'!$K$2:$K$1001,_xlfn.AGGREGATE(15,6,(ROW('Row Level Master Sheet'!$K$2:$K$1001)-ROW('Row Level Master Sheet'!$K$2)+1)/('Row Level Master Sheet'!$C$2:$C$1001="Digital"),ROWS($A$2:A474))),"")</f>
        <v>1</v>
      </c>
      <c r="B474" s="39" t="str" cm="1">
        <f t="array" ref="B474">IFERROR(INDEX('Row Level Master Sheet'!$K$2:$K$1001,_xlfn.AGGREGATE(15,6,(ROW('Row Level Master Sheet'!$K$2:$K$1001)-ROW('Row Level Master Sheet'!$K$2)+1)/('Row Level Master Sheet'!$C$2:$C$1001="Traditional"),ROWS($B$2:B474))),"")</f>
        <v/>
      </c>
    </row>
    <row r="475" spans="1:2" x14ac:dyDescent="0.35">
      <c r="A475" cm="1">
        <f t="array" ref="A475">IFERROR(INDEX('Row Level Master Sheet'!$K$2:$K$1001,_xlfn.AGGREGATE(15,6,(ROW('Row Level Master Sheet'!$K$2:$K$1001)-ROW('Row Level Master Sheet'!$K$2)+1)/('Row Level Master Sheet'!$C$2:$C$1001="Digital"),ROWS($A$2:A475))),"")</f>
        <v>1</v>
      </c>
      <c r="B475" s="39" t="str" cm="1">
        <f t="array" ref="B475">IFERROR(INDEX('Row Level Master Sheet'!$K$2:$K$1001,_xlfn.AGGREGATE(15,6,(ROW('Row Level Master Sheet'!$K$2:$K$1001)-ROW('Row Level Master Sheet'!$K$2)+1)/('Row Level Master Sheet'!$C$2:$C$1001="Traditional"),ROWS($B$2:B475))),"")</f>
        <v/>
      </c>
    </row>
    <row r="476" spans="1:2" x14ac:dyDescent="0.35">
      <c r="A476" cm="1">
        <f t="array" ref="A476">IFERROR(INDEX('Row Level Master Sheet'!$K$2:$K$1001,_xlfn.AGGREGATE(15,6,(ROW('Row Level Master Sheet'!$K$2:$K$1001)-ROW('Row Level Master Sheet'!$K$2)+1)/('Row Level Master Sheet'!$C$2:$C$1001="Digital"),ROWS($A$2:A476))),"")</f>
        <v>1</v>
      </c>
      <c r="B476" s="39" t="str" cm="1">
        <f t="array" ref="B476">IFERROR(INDEX('Row Level Master Sheet'!$K$2:$K$1001,_xlfn.AGGREGATE(15,6,(ROW('Row Level Master Sheet'!$K$2:$K$1001)-ROW('Row Level Master Sheet'!$K$2)+1)/('Row Level Master Sheet'!$C$2:$C$1001="Traditional"),ROWS($B$2:B476))),"")</f>
        <v/>
      </c>
    </row>
    <row r="477" spans="1:2" x14ac:dyDescent="0.35">
      <c r="A477" cm="1">
        <f t="array" ref="A477">IFERROR(INDEX('Row Level Master Sheet'!$K$2:$K$1001,_xlfn.AGGREGATE(15,6,(ROW('Row Level Master Sheet'!$K$2:$K$1001)-ROW('Row Level Master Sheet'!$K$2)+1)/('Row Level Master Sheet'!$C$2:$C$1001="Digital"),ROWS($A$2:A477))),"")</f>
        <v>1</v>
      </c>
      <c r="B477" s="39" t="str" cm="1">
        <f t="array" ref="B477">IFERROR(INDEX('Row Level Master Sheet'!$K$2:$K$1001,_xlfn.AGGREGATE(15,6,(ROW('Row Level Master Sheet'!$K$2:$K$1001)-ROW('Row Level Master Sheet'!$K$2)+1)/('Row Level Master Sheet'!$C$2:$C$1001="Traditional"),ROWS($B$2:B477))),"")</f>
        <v/>
      </c>
    </row>
    <row r="478" spans="1:2" x14ac:dyDescent="0.35">
      <c r="A478" cm="1">
        <f t="array" ref="A478">IFERROR(INDEX('Row Level Master Sheet'!$K$2:$K$1001,_xlfn.AGGREGATE(15,6,(ROW('Row Level Master Sheet'!$K$2:$K$1001)-ROW('Row Level Master Sheet'!$K$2)+1)/('Row Level Master Sheet'!$C$2:$C$1001="Digital"),ROWS($A$2:A478))),"")</f>
        <v>1.0100000000000002</v>
      </c>
      <c r="B478" s="39" t="str" cm="1">
        <f t="array" ref="B478">IFERROR(INDEX('Row Level Master Sheet'!$K$2:$K$1001,_xlfn.AGGREGATE(15,6,(ROW('Row Level Master Sheet'!$K$2:$K$1001)-ROW('Row Level Master Sheet'!$K$2)+1)/('Row Level Master Sheet'!$C$2:$C$1001="Traditional"),ROWS($B$2:B478))),"")</f>
        <v/>
      </c>
    </row>
    <row r="479" spans="1:2" x14ac:dyDescent="0.35">
      <c r="A479" cm="1">
        <f t="array" ref="A479">IFERROR(INDEX('Row Level Master Sheet'!$K$2:$K$1001,_xlfn.AGGREGATE(15,6,(ROW('Row Level Master Sheet'!$K$2:$K$1001)-ROW('Row Level Master Sheet'!$K$2)+1)/('Row Level Master Sheet'!$C$2:$C$1001="Digital"),ROWS($A$2:A479))),"")</f>
        <v>1.0100000000000002</v>
      </c>
      <c r="B479" s="39" t="str" cm="1">
        <f t="array" ref="B479">IFERROR(INDEX('Row Level Master Sheet'!$K$2:$K$1001,_xlfn.AGGREGATE(15,6,(ROW('Row Level Master Sheet'!$K$2:$K$1001)-ROW('Row Level Master Sheet'!$K$2)+1)/('Row Level Master Sheet'!$C$2:$C$1001="Traditional"),ROWS($B$2:B479))),"")</f>
        <v/>
      </c>
    </row>
    <row r="480" spans="1:2" x14ac:dyDescent="0.35">
      <c r="A480" cm="1">
        <f t="array" ref="A480">IFERROR(INDEX('Row Level Master Sheet'!$K$2:$K$1001,_xlfn.AGGREGATE(15,6,(ROW('Row Level Master Sheet'!$K$2:$K$1001)-ROW('Row Level Master Sheet'!$K$2)+1)/('Row Level Master Sheet'!$C$2:$C$1001="Digital"),ROWS($A$2:A480))),"")</f>
        <v>1.0100000000000002</v>
      </c>
      <c r="B480" s="39" t="str" cm="1">
        <f t="array" ref="B480">IFERROR(INDEX('Row Level Master Sheet'!$K$2:$K$1001,_xlfn.AGGREGATE(15,6,(ROW('Row Level Master Sheet'!$K$2:$K$1001)-ROW('Row Level Master Sheet'!$K$2)+1)/('Row Level Master Sheet'!$C$2:$C$1001="Traditional"),ROWS($B$2:B480))),"")</f>
        <v/>
      </c>
    </row>
    <row r="481" spans="1:2" x14ac:dyDescent="0.35">
      <c r="A481" cm="1">
        <f t="array" ref="A481">IFERROR(INDEX('Row Level Master Sheet'!$K$2:$K$1001,_xlfn.AGGREGATE(15,6,(ROW('Row Level Master Sheet'!$K$2:$K$1001)-ROW('Row Level Master Sheet'!$K$2)+1)/('Row Level Master Sheet'!$C$2:$C$1001="Digital"),ROWS($A$2:A481))),"")</f>
        <v>1.0100000000000002</v>
      </c>
      <c r="B481" s="39" t="str" cm="1">
        <f t="array" ref="B481">IFERROR(INDEX('Row Level Master Sheet'!$K$2:$K$1001,_xlfn.AGGREGATE(15,6,(ROW('Row Level Master Sheet'!$K$2:$K$1001)-ROW('Row Level Master Sheet'!$K$2)+1)/('Row Level Master Sheet'!$C$2:$C$1001="Traditional"),ROWS($B$2:B481))),"")</f>
        <v/>
      </c>
    </row>
    <row r="482" spans="1:2" x14ac:dyDescent="0.35">
      <c r="A482" cm="1">
        <f t="array" ref="A482">IFERROR(INDEX('Row Level Master Sheet'!$K$2:$K$1001,_xlfn.AGGREGATE(15,6,(ROW('Row Level Master Sheet'!$K$2:$K$1001)-ROW('Row Level Master Sheet'!$K$2)+1)/('Row Level Master Sheet'!$C$2:$C$1001="Digital"),ROWS($A$2:A482))),"")</f>
        <v>1.0100000000000002</v>
      </c>
      <c r="B482" s="39" t="str" cm="1">
        <f t="array" ref="B482">IFERROR(INDEX('Row Level Master Sheet'!$K$2:$K$1001,_xlfn.AGGREGATE(15,6,(ROW('Row Level Master Sheet'!$K$2:$K$1001)-ROW('Row Level Master Sheet'!$K$2)+1)/('Row Level Master Sheet'!$C$2:$C$1001="Traditional"),ROWS($B$2:B482))),"")</f>
        <v/>
      </c>
    </row>
    <row r="483" spans="1:2" x14ac:dyDescent="0.35">
      <c r="A483" cm="1">
        <f t="array" ref="A483">IFERROR(INDEX('Row Level Master Sheet'!$K$2:$K$1001,_xlfn.AGGREGATE(15,6,(ROW('Row Level Master Sheet'!$K$2:$K$1001)-ROW('Row Level Master Sheet'!$K$2)+1)/('Row Level Master Sheet'!$C$2:$C$1001="Digital"),ROWS($A$2:A483))),"")</f>
        <v>1.0100000000000002</v>
      </c>
      <c r="B483" s="39" t="str" cm="1">
        <f t="array" ref="B483">IFERROR(INDEX('Row Level Master Sheet'!$K$2:$K$1001,_xlfn.AGGREGATE(15,6,(ROW('Row Level Master Sheet'!$K$2:$K$1001)-ROW('Row Level Master Sheet'!$K$2)+1)/('Row Level Master Sheet'!$C$2:$C$1001="Traditional"),ROWS($B$2:B483))),"")</f>
        <v/>
      </c>
    </row>
    <row r="484" spans="1:2" x14ac:dyDescent="0.35">
      <c r="A484" cm="1">
        <f t="array" ref="A484">IFERROR(INDEX('Row Level Master Sheet'!$K$2:$K$1001,_xlfn.AGGREGATE(15,6,(ROW('Row Level Master Sheet'!$K$2:$K$1001)-ROW('Row Level Master Sheet'!$K$2)+1)/('Row Level Master Sheet'!$C$2:$C$1001="Digital"),ROWS($A$2:A484))),"")</f>
        <v>1.0100000000000005</v>
      </c>
      <c r="B484" s="39" t="str" cm="1">
        <f t="array" ref="B484">IFERROR(INDEX('Row Level Master Sheet'!$K$2:$K$1001,_xlfn.AGGREGATE(15,6,(ROW('Row Level Master Sheet'!$K$2:$K$1001)-ROW('Row Level Master Sheet'!$K$2)+1)/('Row Level Master Sheet'!$C$2:$C$1001="Traditional"),ROWS($B$2:B484))),"")</f>
        <v/>
      </c>
    </row>
    <row r="485" spans="1:2" x14ac:dyDescent="0.35">
      <c r="A485" cm="1">
        <f t="array" ref="A485">IFERROR(INDEX('Row Level Master Sheet'!$K$2:$K$1001,_xlfn.AGGREGATE(15,6,(ROW('Row Level Master Sheet'!$K$2:$K$1001)-ROW('Row Level Master Sheet'!$K$2)+1)/('Row Level Master Sheet'!$C$2:$C$1001="Digital"),ROWS($A$2:A485))),"")</f>
        <v>1.0199999999999998</v>
      </c>
      <c r="B485" s="39" t="str" cm="1">
        <f t="array" ref="B485">IFERROR(INDEX('Row Level Master Sheet'!$K$2:$K$1001,_xlfn.AGGREGATE(15,6,(ROW('Row Level Master Sheet'!$K$2:$K$1001)-ROW('Row Level Master Sheet'!$K$2)+1)/('Row Level Master Sheet'!$C$2:$C$1001="Traditional"),ROWS($B$2:B485))),"")</f>
        <v/>
      </c>
    </row>
    <row r="486" spans="1:2" x14ac:dyDescent="0.35">
      <c r="A486" cm="1">
        <f t="array" ref="A486">IFERROR(INDEX('Row Level Master Sheet'!$K$2:$K$1001,_xlfn.AGGREGATE(15,6,(ROW('Row Level Master Sheet'!$K$2:$K$1001)-ROW('Row Level Master Sheet'!$K$2)+1)/('Row Level Master Sheet'!$C$2:$C$1001="Digital"),ROWS($A$2:A486))),"")</f>
        <v>1.0199999999999998</v>
      </c>
      <c r="B486" s="39" t="str" cm="1">
        <f t="array" ref="B486">IFERROR(INDEX('Row Level Master Sheet'!$K$2:$K$1001,_xlfn.AGGREGATE(15,6,(ROW('Row Level Master Sheet'!$K$2:$K$1001)-ROW('Row Level Master Sheet'!$K$2)+1)/('Row Level Master Sheet'!$C$2:$C$1001="Traditional"),ROWS($B$2:B486))),"")</f>
        <v/>
      </c>
    </row>
    <row r="487" spans="1:2" x14ac:dyDescent="0.35">
      <c r="A487" cm="1">
        <f t="array" ref="A487">IFERROR(INDEX('Row Level Master Sheet'!$K$2:$K$1001,_xlfn.AGGREGATE(15,6,(ROW('Row Level Master Sheet'!$K$2:$K$1001)-ROW('Row Level Master Sheet'!$K$2)+1)/('Row Level Master Sheet'!$C$2:$C$1001="Digital"),ROWS($A$2:A487))),"")</f>
        <v>1.02</v>
      </c>
      <c r="B487" s="39" t="str" cm="1">
        <f t="array" ref="B487">IFERROR(INDEX('Row Level Master Sheet'!$K$2:$K$1001,_xlfn.AGGREGATE(15,6,(ROW('Row Level Master Sheet'!$K$2:$K$1001)-ROW('Row Level Master Sheet'!$K$2)+1)/('Row Level Master Sheet'!$C$2:$C$1001="Traditional"),ROWS($B$2:B487))),"")</f>
        <v/>
      </c>
    </row>
    <row r="488" spans="1:2" x14ac:dyDescent="0.35">
      <c r="A488" cm="1">
        <f t="array" ref="A488">IFERROR(INDEX('Row Level Master Sheet'!$K$2:$K$1001,_xlfn.AGGREGATE(15,6,(ROW('Row Level Master Sheet'!$K$2:$K$1001)-ROW('Row Level Master Sheet'!$K$2)+1)/('Row Level Master Sheet'!$C$2:$C$1001="Digital"),ROWS($A$2:A488))),"")</f>
        <v>1.02</v>
      </c>
      <c r="B488" s="39" t="str" cm="1">
        <f t="array" ref="B488">IFERROR(INDEX('Row Level Master Sheet'!$K$2:$K$1001,_xlfn.AGGREGATE(15,6,(ROW('Row Level Master Sheet'!$K$2:$K$1001)-ROW('Row Level Master Sheet'!$K$2)+1)/('Row Level Master Sheet'!$C$2:$C$1001="Traditional"),ROWS($B$2:B488))),"")</f>
        <v/>
      </c>
    </row>
    <row r="489" spans="1:2" x14ac:dyDescent="0.35">
      <c r="A489" cm="1">
        <f t="array" ref="A489">IFERROR(INDEX('Row Level Master Sheet'!$K$2:$K$1001,_xlfn.AGGREGATE(15,6,(ROW('Row Level Master Sheet'!$K$2:$K$1001)-ROW('Row Level Master Sheet'!$K$2)+1)/('Row Level Master Sheet'!$C$2:$C$1001="Digital"),ROWS($A$2:A489))),"")</f>
        <v>1.02</v>
      </c>
      <c r="B489" s="39" t="str" cm="1">
        <f t="array" ref="B489">IFERROR(INDEX('Row Level Master Sheet'!$K$2:$K$1001,_xlfn.AGGREGATE(15,6,(ROW('Row Level Master Sheet'!$K$2:$K$1001)-ROW('Row Level Master Sheet'!$K$2)+1)/('Row Level Master Sheet'!$C$2:$C$1001="Traditional"),ROWS($B$2:B489))),"")</f>
        <v/>
      </c>
    </row>
    <row r="490" spans="1:2" x14ac:dyDescent="0.35">
      <c r="A490" cm="1">
        <f t="array" ref="A490">IFERROR(INDEX('Row Level Master Sheet'!$K$2:$K$1001,_xlfn.AGGREGATE(15,6,(ROW('Row Level Master Sheet'!$K$2:$K$1001)-ROW('Row Level Master Sheet'!$K$2)+1)/('Row Level Master Sheet'!$C$2:$C$1001="Digital"),ROWS($A$2:A490))),"")</f>
        <v>1.0200000000000002</v>
      </c>
      <c r="B490" s="39" t="str" cm="1">
        <f t="array" ref="B490">IFERROR(INDEX('Row Level Master Sheet'!$K$2:$K$1001,_xlfn.AGGREGATE(15,6,(ROW('Row Level Master Sheet'!$K$2:$K$1001)-ROW('Row Level Master Sheet'!$K$2)+1)/('Row Level Master Sheet'!$C$2:$C$1001="Traditional"),ROWS($B$2:B490))),"")</f>
        <v/>
      </c>
    </row>
    <row r="491" spans="1:2" x14ac:dyDescent="0.35">
      <c r="A491" cm="1">
        <f t="array" ref="A491">IFERROR(INDEX('Row Level Master Sheet'!$K$2:$K$1001,_xlfn.AGGREGATE(15,6,(ROW('Row Level Master Sheet'!$K$2:$K$1001)-ROW('Row Level Master Sheet'!$K$2)+1)/('Row Level Master Sheet'!$C$2:$C$1001="Digital"),ROWS($A$2:A491))),"")</f>
        <v>1.0299999999999998</v>
      </c>
      <c r="B491" s="39" t="str" cm="1">
        <f t="array" ref="B491">IFERROR(INDEX('Row Level Master Sheet'!$K$2:$K$1001,_xlfn.AGGREGATE(15,6,(ROW('Row Level Master Sheet'!$K$2:$K$1001)-ROW('Row Level Master Sheet'!$K$2)+1)/('Row Level Master Sheet'!$C$2:$C$1001="Traditional"),ROWS($B$2:B491))),"")</f>
        <v/>
      </c>
    </row>
    <row r="492" spans="1:2" x14ac:dyDescent="0.35">
      <c r="A492" cm="1">
        <f t="array" ref="A492">IFERROR(INDEX('Row Level Master Sheet'!$K$2:$K$1001,_xlfn.AGGREGATE(15,6,(ROW('Row Level Master Sheet'!$K$2:$K$1001)-ROW('Row Level Master Sheet'!$K$2)+1)/('Row Level Master Sheet'!$C$2:$C$1001="Digital"),ROWS($A$2:A492))),"")</f>
        <v>1.03</v>
      </c>
      <c r="B492" s="39" t="str" cm="1">
        <f t="array" ref="B492">IFERROR(INDEX('Row Level Master Sheet'!$K$2:$K$1001,_xlfn.AGGREGATE(15,6,(ROW('Row Level Master Sheet'!$K$2:$K$1001)-ROW('Row Level Master Sheet'!$K$2)+1)/('Row Level Master Sheet'!$C$2:$C$1001="Traditional"),ROWS($B$2:B492))),"")</f>
        <v/>
      </c>
    </row>
    <row r="493" spans="1:2" x14ac:dyDescent="0.35">
      <c r="A493" cm="1">
        <f t="array" ref="A493">IFERROR(INDEX('Row Level Master Sheet'!$K$2:$K$1001,_xlfn.AGGREGATE(15,6,(ROW('Row Level Master Sheet'!$K$2:$K$1001)-ROW('Row Level Master Sheet'!$K$2)+1)/('Row Level Master Sheet'!$C$2:$C$1001="Digital"),ROWS($A$2:A493))),"")</f>
        <v>1.03</v>
      </c>
      <c r="B493" s="39" t="str" cm="1">
        <f t="array" ref="B493">IFERROR(INDEX('Row Level Master Sheet'!$K$2:$K$1001,_xlfn.AGGREGATE(15,6,(ROW('Row Level Master Sheet'!$K$2:$K$1001)-ROW('Row Level Master Sheet'!$K$2)+1)/('Row Level Master Sheet'!$C$2:$C$1001="Traditional"),ROWS($B$2:B493))),"")</f>
        <v/>
      </c>
    </row>
    <row r="494" spans="1:2" x14ac:dyDescent="0.35">
      <c r="A494" cm="1">
        <f t="array" ref="A494">IFERROR(INDEX('Row Level Master Sheet'!$K$2:$K$1001,_xlfn.AGGREGATE(15,6,(ROW('Row Level Master Sheet'!$K$2:$K$1001)-ROW('Row Level Master Sheet'!$K$2)+1)/('Row Level Master Sheet'!$C$2:$C$1001="Digital"),ROWS($A$2:A494))),"")</f>
        <v>1.03</v>
      </c>
      <c r="B494" s="39" t="str" cm="1">
        <f t="array" ref="B494">IFERROR(INDEX('Row Level Master Sheet'!$K$2:$K$1001,_xlfn.AGGREGATE(15,6,(ROW('Row Level Master Sheet'!$K$2:$K$1001)-ROW('Row Level Master Sheet'!$K$2)+1)/('Row Level Master Sheet'!$C$2:$C$1001="Traditional"),ROWS($B$2:B494))),"")</f>
        <v/>
      </c>
    </row>
    <row r="495" spans="1:2" x14ac:dyDescent="0.35">
      <c r="A495" cm="1">
        <f t="array" ref="A495">IFERROR(INDEX('Row Level Master Sheet'!$K$2:$K$1001,_xlfn.AGGREGATE(15,6,(ROW('Row Level Master Sheet'!$K$2:$K$1001)-ROW('Row Level Master Sheet'!$K$2)+1)/('Row Level Master Sheet'!$C$2:$C$1001="Digital"),ROWS($A$2:A495))),"")</f>
        <v>1.04</v>
      </c>
      <c r="B495" s="39" t="str" cm="1">
        <f t="array" ref="B495">IFERROR(INDEX('Row Level Master Sheet'!$K$2:$K$1001,_xlfn.AGGREGATE(15,6,(ROW('Row Level Master Sheet'!$K$2:$K$1001)-ROW('Row Level Master Sheet'!$K$2)+1)/('Row Level Master Sheet'!$C$2:$C$1001="Traditional"),ROWS($B$2:B495))),"")</f>
        <v/>
      </c>
    </row>
    <row r="496" spans="1:2" x14ac:dyDescent="0.35">
      <c r="A496" cm="1">
        <f t="array" ref="A496">IFERROR(INDEX('Row Level Master Sheet'!$K$2:$K$1001,_xlfn.AGGREGATE(15,6,(ROW('Row Level Master Sheet'!$K$2:$K$1001)-ROW('Row Level Master Sheet'!$K$2)+1)/('Row Level Master Sheet'!$C$2:$C$1001="Digital"),ROWS($A$2:A496))),"")</f>
        <v>1.0400000000000003</v>
      </c>
      <c r="B496" s="39" t="str" cm="1">
        <f t="array" ref="B496">IFERROR(INDEX('Row Level Master Sheet'!$K$2:$K$1001,_xlfn.AGGREGATE(15,6,(ROW('Row Level Master Sheet'!$K$2:$K$1001)-ROW('Row Level Master Sheet'!$K$2)+1)/('Row Level Master Sheet'!$C$2:$C$1001="Traditional"),ROWS($B$2:B496))),"")</f>
        <v/>
      </c>
    </row>
    <row r="497" spans="1:2" x14ac:dyDescent="0.35">
      <c r="A497" cm="1">
        <f t="array" ref="A497">IFERROR(INDEX('Row Level Master Sheet'!$K$2:$K$1001,_xlfn.AGGREGATE(15,6,(ROW('Row Level Master Sheet'!$K$2:$K$1001)-ROW('Row Level Master Sheet'!$K$2)+1)/('Row Level Master Sheet'!$C$2:$C$1001="Digital"),ROWS($A$2:A497))),"")</f>
        <v>1.0400000000000003</v>
      </c>
      <c r="B497" s="39" t="str" cm="1">
        <f t="array" ref="B497">IFERROR(INDEX('Row Level Master Sheet'!$K$2:$K$1001,_xlfn.AGGREGATE(15,6,(ROW('Row Level Master Sheet'!$K$2:$K$1001)-ROW('Row Level Master Sheet'!$K$2)+1)/('Row Level Master Sheet'!$C$2:$C$1001="Traditional"),ROWS($B$2:B497))),"")</f>
        <v/>
      </c>
    </row>
    <row r="498" spans="1:2" x14ac:dyDescent="0.35">
      <c r="A498" cm="1">
        <f t="array" ref="A498">IFERROR(INDEX('Row Level Master Sheet'!$K$2:$K$1001,_xlfn.AGGREGATE(15,6,(ROW('Row Level Master Sheet'!$K$2:$K$1001)-ROW('Row Level Master Sheet'!$K$2)+1)/('Row Level Master Sheet'!$C$2:$C$1001="Digital"),ROWS($A$2:A498))),"")</f>
        <v>1.0499999999999996</v>
      </c>
      <c r="B498" s="39" t="str" cm="1">
        <f t="array" ref="B498">IFERROR(INDEX('Row Level Master Sheet'!$K$2:$K$1001,_xlfn.AGGREGATE(15,6,(ROW('Row Level Master Sheet'!$K$2:$K$1001)-ROW('Row Level Master Sheet'!$K$2)+1)/('Row Level Master Sheet'!$C$2:$C$1001="Traditional"),ROWS($B$2:B498))),"")</f>
        <v/>
      </c>
    </row>
    <row r="499" spans="1:2" x14ac:dyDescent="0.35">
      <c r="A499" cm="1">
        <f t="array" ref="A499">IFERROR(INDEX('Row Level Master Sheet'!$K$2:$K$1001,_xlfn.AGGREGATE(15,6,(ROW('Row Level Master Sheet'!$K$2:$K$1001)-ROW('Row Level Master Sheet'!$K$2)+1)/('Row Level Master Sheet'!$C$2:$C$1001="Digital"),ROWS($A$2:A499))),"")</f>
        <v>1.05</v>
      </c>
      <c r="B499" s="39" t="str" cm="1">
        <f t="array" ref="B499">IFERROR(INDEX('Row Level Master Sheet'!$K$2:$K$1001,_xlfn.AGGREGATE(15,6,(ROW('Row Level Master Sheet'!$K$2:$K$1001)-ROW('Row Level Master Sheet'!$K$2)+1)/('Row Level Master Sheet'!$C$2:$C$1001="Traditional"),ROWS($B$2:B499))),"")</f>
        <v/>
      </c>
    </row>
    <row r="500" spans="1:2" x14ac:dyDescent="0.35">
      <c r="A500" cm="1">
        <f t="array" ref="A500">IFERROR(INDEX('Row Level Master Sheet'!$K$2:$K$1001,_xlfn.AGGREGATE(15,6,(ROW('Row Level Master Sheet'!$K$2:$K$1001)-ROW('Row Level Master Sheet'!$K$2)+1)/('Row Level Master Sheet'!$C$2:$C$1001="Digital"),ROWS($A$2:A500))),"")</f>
        <v>1.05</v>
      </c>
      <c r="B500" s="39" t="str" cm="1">
        <f t="array" ref="B500">IFERROR(INDEX('Row Level Master Sheet'!$K$2:$K$1001,_xlfn.AGGREGATE(15,6,(ROW('Row Level Master Sheet'!$K$2:$K$1001)-ROW('Row Level Master Sheet'!$K$2)+1)/('Row Level Master Sheet'!$C$2:$C$1001="Traditional"),ROWS($B$2:B500))),"")</f>
        <v/>
      </c>
    </row>
    <row r="501" spans="1:2" x14ac:dyDescent="0.35">
      <c r="A501" cm="1">
        <f t="array" ref="A501">IFERROR(INDEX('Row Level Master Sheet'!$K$2:$K$1001,_xlfn.AGGREGATE(15,6,(ROW('Row Level Master Sheet'!$K$2:$K$1001)-ROW('Row Level Master Sheet'!$K$2)+1)/('Row Level Master Sheet'!$C$2:$C$1001="Digital"),ROWS($A$2:A501))),"")</f>
        <v>1.05</v>
      </c>
      <c r="B501" s="39" t="str" cm="1">
        <f t="array" ref="B501">IFERROR(INDEX('Row Level Master Sheet'!$K$2:$K$1001,_xlfn.AGGREGATE(15,6,(ROW('Row Level Master Sheet'!$K$2:$K$1001)-ROW('Row Level Master Sheet'!$K$2)+1)/('Row Level Master Sheet'!$C$2:$C$1001="Traditional"),ROWS($B$2:B501))),"")</f>
        <v/>
      </c>
    </row>
    <row r="502" spans="1:2" x14ac:dyDescent="0.35">
      <c r="A502" cm="1">
        <f t="array" ref="A502">IFERROR(INDEX('Row Level Master Sheet'!$K$2:$K$1001,_xlfn.AGGREGATE(15,6,(ROW('Row Level Master Sheet'!$K$2:$K$1001)-ROW('Row Level Master Sheet'!$K$2)+1)/('Row Level Master Sheet'!$C$2:$C$1001="Digital"),ROWS($A$2:A502))),"")</f>
        <v>1.05</v>
      </c>
      <c r="B502" s="39" t="str" cm="1">
        <f t="array" ref="B502">IFERROR(INDEX('Row Level Master Sheet'!$K$2:$K$1001,_xlfn.AGGREGATE(15,6,(ROW('Row Level Master Sheet'!$K$2:$K$1001)-ROW('Row Level Master Sheet'!$K$2)+1)/('Row Level Master Sheet'!$C$2:$C$1001="Traditional"),ROWS($B$2:B502))),"")</f>
        <v/>
      </c>
    </row>
    <row r="503" spans="1:2" x14ac:dyDescent="0.35">
      <c r="A503" cm="1">
        <f t="array" ref="A503">IFERROR(INDEX('Row Level Master Sheet'!$K$2:$K$1001,_xlfn.AGGREGATE(15,6,(ROW('Row Level Master Sheet'!$K$2:$K$1001)-ROW('Row Level Master Sheet'!$K$2)+1)/('Row Level Master Sheet'!$C$2:$C$1001="Digital"),ROWS($A$2:A503))),"")</f>
        <v>1.0599999999999998</v>
      </c>
      <c r="B503" s="39" t="str" cm="1">
        <f t="array" ref="B503">IFERROR(INDEX('Row Level Master Sheet'!$K$2:$K$1001,_xlfn.AGGREGATE(15,6,(ROW('Row Level Master Sheet'!$K$2:$K$1001)-ROW('Row Level Master Sheet'!$K$2)+1)/('Row Level Master Sheet'!$C$2:$C$1001="Traditional"),ROWS($B$2:B503))),"")</f>
        <v/>
      </c>
    </row>
    <row r="504" spans="1:2" x14ac:dyDescent="0.35">
      <c r="A504" cm="1">
        <f t="array" ref="A504">IFERROR(INDEX('Row Level Master Sheet'!$K$2:$K$1001,_xlfn.AGGREGATE(15,6,(ROW('Row Level Master Sheet'!$K$2:$K$1001)-ROW('Row Level Master Sheet'!$K$2)+1)/('Row Level Master Sheet'!$C$2:$C$1001="Digital"),ROWS($A$2:A504))),"")</f>
        <v>1.0599999999999998</v>
      </c>
      <c r="B504" s="39" t="str" cm="1">
        <f t="array" ref="B504">IFERROR(INDEX('Row Level Master Sheet'!$K$2:$K$1001,_xlfn.AGGREGATE(15,6,(ROW('Row Level Master Sheet'!$K$2:$K$1001)-ROW('Row Level Master Sheet'!$K$2)+1)/('Row Level Master Sheet'!$C$2:$C$1001="Traditional"),ROWS($B$2:B504))),"")</f>
        <v/>
      </c>
    </row>
    <row r="505" spans="1:2" x14ac:dyDescent="0.35">
      <c r="A505" cm="1">
        <f t="array" ref="A505">IFERROR(INDEX('Row Level Master Sheet'!$K$2:$K$1001,_xlfn.AGGREGATE(15,6,(ROW('Row Level Master Sheet'!$K$2:$K$1001)-ROW('Row Level Master Sheet'!$K$2)+1)/('Row Level Master Sheet'!$C$2:$C$1001="Digital"),ROWS($A$2:A505))),"")</f>
        <v>1.0599999999999998</v>
      </c>
      <c r="B505" s="39" t="str" cm="1">
        <f t="array" ref="B505">IFERROR(INDEX('Row Level Master Sheet'!$K$2:$K$1001,_xlfn.AGGREGATE(15,6,(ROW('Row Level Master Sheet'!$K$2:$K$1001)-ROW('Row Level Master Sheet'!$K$2)+1)/('Row Level Master Sheet'!$C$2:$C$1001="Traditional"),ROWS($B$2:B505))),"")</f>
        <v/>
      </c>
    </row>
    <row r="506" spans="1:2" x14ac:dyDescent="0.35">
      <c r="A506" cm="1">
        <f t="array" ref="A506">IFERROR(INDEX('Row Level Master Sheet'!$K$2:$K$1001,_xlfn.AGGREGATE(15,6,(ROW('Row Level Master Sheet'!$K$2:$K$1001)-ROW('Row Level Master Sheet'!$K$2)+1)/('Row Level Master Sheet'!$C$2:$C$1001="Digital"),ROWS($A$2:A506))),"")</f>
        <v>1.0600000000000003</v>
      </c>
      <c r="B506" s="39" t="str" cm="1">
        <f t="array" ref="B506">IFERROR(INDEX('Row Level Master Sheet'!$K$2:$K$1001,_xlfn.AGGREGATE(15,6,(ROW('Row Level Master Sheet'!$K$2:$K$1001)-ROW('Row Level Master Sheet'!$K$2)+1)/('Row Level Master Sheet'!$C$2:$C$1001="Traditional"),ROWS($B$2:B506))),"")</f>
        <v/>
      </c>
    </row>
    <row r="507" spans="1:2" x14ac:dyDescent="0.35">
      <c r="A507" cm="1">
        <f t="array" ref="A507">IFERROR(INDEX('Row Level Master Sheet'!$K$2:$K$1001,_xlfn.AGGREGATE(15,6,(ROW('Row Level Master Sheet'!$K$2:$K$1001)-ROW('Row Level Master Sheet'!$K$2)+1)/('Row Level Master Sheet'!$C$2:$C$1001="Digital"),ROWS($A$2:A507))),"")</f>
        <v>1.0699999999999998</v>
      </c>
      <c r="B507" s="39" t="str" cm="1">
        <f t="array" ref="B507">IFERROR(INDEX('Row Level Master Sheet'!$K$2:$K$1001,_xlfn.AGGREGATE(15,6,(ROW('Row Level Master Sheet'!$K$2:$K$1001)-ROW('Row Level Master Sheet'!$K$2)+1)/('Row Level Master Sheet'!$C$2:$C$1001="Traditional"),ROWS($B$2:B507))),"")</f>
        <v/>
      </c>
    </row>
    <row r="508" spans="1:2" x14ac:dyDescent="0.35">
      <c r="A508" cm="1">
        <f t="array" ref="A508">IFERROR(INDEX('Row Level Master Sheet'!$K$2:$K$1001,_xlfn.AGGREGATE(15,6,(ROW('Row Level Master Sheet'!$K$2:$K$1001)-ROW('Row Level Master Sheet'!$K$2)+1)/('Row Level Master Sheet'!$C$2:$C$1001="Digital"),ROWS($A$2:A508))),"")</f>
        <v>1.0699999999999998</v>
      </c>
      <c r="B508" s="39" t="str" cm="1">
        <f t="array" ref="B508">IFERROR(INDEX('Row Level Master Sheet'!$K$2:$K$1001,_xlfn.AGGREGATE(15,6,(ROW('Row Level Master Sheet'!$K$2:$K$1001)-ROW('Row Level Master Sheet'!$K$2)+1)/('Row Level Master Sheet'!$C$2:$C$1001="Traditional"),ROWS($B$2:B508))),"")</f>
        <v/>
      </c>
    </row>
    <row r="509" spans="1:2" x14ac:dyDescent="0.35">
      <c r="A509" cm="1">
        <f t="array" ref="A509">IFERROR(INDEX('Row Level Master Sheet'!$K$2:$K$1001,_xlfn.AGGREGATE(15,6,(ROW('Row Level Master Sheet'!$K$2:$K$1001)-ROW('Row Level Master Sheet'!$K$2)+1)/('Row Level Master Sheet'!$C$2:$C$1001="Digital"),ROWS($A$2:A509))),"")</f>
        <v>1.07</v>
      </c>
      <c r="B509" s="39" t="str" cm="1">
        <f t="array" ref="B509">IFERROR(INDEX('Row Level Master Sheet'!$K$2:$K$1001,_xlfn.AGGREGATE(15,6,(ROW('Row Level Master Sheet'!$K$2:$K$1001)-ROW('Row Level Master Sheet'!$K$2)+1)/('Row Level Master Sheet'!$C$2:$C$1001="Traditional"),ROWS($B$2:B509))),"")</f>
        <v/>
      </c>
    </row>
    <row r="510" spans="1:2" x14ac:dyDescent="0.35">
      <c r="A510" cm="1">
        <f t="array" ref="A510">IFERROR(INDEX('Row Level Master Sheet'!$K$2:$K$1001,_xlfn.AGGREGATE(15,6,(ROW('Row Level Master Sheet'!$K$2:$K$1001)-ROW('Row Level Master Sheet'!$K$2)+1)/('Row Level Master Sheet'!$C$2:$C$1001="Digital"),ROWS($A$2:A510))),"")</f>
        <v>1.07</v>
      </c>
      <c r="B510" s="39" t="str" cm="1">
        <f t="array" ref="B510">IFERROR(INDEX('Row Level Master Sheet'!$K$2:$K$1001,_xlfn.AGGREGATE(15,6,(ROW('Row Level Master Sheet'!$K$2:$K$1001)-ROW('Row Level Master Sheet'!$K$2)+1)/('Row Level Master Sheet'!$C$2:$C$1001="Traditional"),ROWS($B$2:B510))),"")</f>
        <v/>
      </c>
    </row>
    <row r="511" spans="1:2" x14ac:dyDescent="0.35">
      <c r="A511" cm="1">
        <f t="array" ref="A511">IFERROR(INDEX('Row Level Master Sheet'!$K$2:$K$1001,_xlfn.AGGREGATE(15,6,(ROW('Row Level Master Sheet'!$K$2:$K$1001)-ROW('Row Level Master Sheet'!$K$2)+1)/('Row Level Master Sheet'!$C$2:$C$1001="Digital"),ROWS($A$2:A511))),"")</f>
        <v>1.0700000000000003</v>
      </c>
      <c r="B511" s="39" t="str" cm="1">
        <f t="array" ref="B511">IFERROR(INDEX('Row Level Master Sheet'!$K$2:$K$1001,_xlfn.AGGREGATE(15,6,(ROW('Row Level Master Sheet'!$K$2:$K$1001)-ROW('Row Level Master Sheet'!$K$2)+1)/('Row Level Master Sheet'!$C$2:$C$1001="Traditional"),ROWS($B$2:B511))),"")</f>
        <v/>
      </c>
    </row>
    <row r="512" spans="1:2" x14ac:dyDescent="0.35">
      <c r="A512" cm="1">
        <f t="array" ref="A512">IFERROR(INDEX('Row Level Master Sheet'!$K$2:$K$1001,_xlfn.AGGREGATE(15,6,(ROW('Row Level Master Sheet'!$K$2:$K$1001)-ROW('Row Level Master Sheet'!$K$2)+1)/('Row Level Master Sheet'!$C$2:$C$1001="Digital"),ROWS($A$2:A512))),"")</f>
        <v>1.0799999999999998</v>
      </c>
      <c r="B512" s="39" t="str" cm="1">
        <f t="array" ref="B512">IFERROR(INDEX('Row Level Master Sheet'!$K$2:$K$1001,_xlfn.AGGREGATE(15,6,(ROW('Row Level Master Sheet'!$K$2:$K$1001)-ROW('Row Level Master Sheet'!$K$2)+1)/('Row Level Master Sheet'!$C$2:$C$1001="Traditional"),ROWS($B$2:B512))),"")</f>
        <v/>
      </c>
    </row>
    <row r="513" spans="1:2" x14ac:dyDescent="0.35">
      <c r="A513" cm="1">
        <f t="array" ref="A513">IFERROR(INDEX('Row Level Master Sheet'!$K$2:$K$1001,_xlfn.AGGREGATE(15,6,(ROW('Row Level Master Sheet'!$K$2:$K$1001)-ROW('Row Level Master Sheet'!$K$2)+1)/('Row Level Master Sheet'!$C$2:$C$1001="Digital"),ROWS($A$2:A513))),"")</f>
        <v>1.0799999999999998</v>
      </c>
      <c r="B513" s="39" t="str" cm="1">
        <f t="array" ref="B513">IFERROR(INDEX('Row Level Master Sheet'!$K$2:$K$1001,_xlfn.AGGREGATE(15,6,(ROW('Row Level Master Sheet'!$K$2:$K$1001)-ROW('Row Level Master Sheet'!$K$2)+1)/('Row Level Master Sheet'!$C$2:$C$1001="Traditional"),ROWS($B$2:B513))),"")</f>
        <v/>
      </c>
    </row>
    <row r="514" spans="1:2" x14ac:dyDescent="0.35">
      <c r="A514" cm="1">
        <f t="array" ref="A514">IFERROR(INDEX('Row Level Master Sheet'!$K$2:$K$1001,_xlfn.AGGREGATE(15,6,(ROW('Row Level Master Sheet'!$K$2:$K$1001)-ROW('Row Level Master Sheet'!$K$2)+1)/('Row Level Master Sheet'!$C$2:$C$1001="Digital"),ROWS($A$2:A514))),"")</f>
        <v>1.0799999999999998</v>
      </c>
      <c r="B514" s="39" t="str" cm="1">
        <f t="array" ref="B514">IFERROR(INDEX('Row Level Master Sheet'!$K$2:$K$1001,_xlfn.AGGREGATE(15,6,(ROW('Row Level Master Sheet'!$K$2:$K$1001)-ROW('Row Level Master Sheet'!$K$2)+1)/('Row Level Master Sheet'!$C$2:$C$1001="Traditional"),ROWS($B$2:B514))),"")</f>
        <v/>
      </c>
    </row>
    <row r="515" spans="1:2" x14ac:dyDescent="0.35">
      <c r="A515" cm="1">
        <f t="array" ref="A515">IFERROR(INDEX('Row Level Master Sheet'!$K$2:$K$1001,_xlfn.AGGREGATE(15,6,(ROW('Row Level Master Sheet'!$K$2:$K$1001)-ROW('Row Level Master Sheet'!$K$2)+1)/('Row Level Master Sheet'!$C$2:$C$1001="Digital"),ROWS($A$2:A515))),"")</f>
        <v>1.0899999999999999</v>
      </c>
      <c r="B515" s="39" t="str" cm="1">
        <f t="array" ref="B515">IFERROR(INDEX('Row Level Master Sheet'!$K$2:$K$1001,_xlfn.AGGREGATE(15,6,(ROW('Row Level Master Sheet'!$K$2:$K$1001)-ROW('Row Level Master Sheet'!$K$2)+1)/('Row Level Master Sheet'!$C$2:$C$1001="Traditional"),ROWS($B$2:B515))),"")</f>
        <v/>
      </c>
    </row>
    <row r="516" spans="1:2" x14ac:dyDescent="0.35">
      <c r="A516" cm="1">
        <f t="array" ref="A516">IFERROR(INDEX('Row Level Master Sheet'!$K$2:$K$1001,_xlfn.AGGREGATE(15,6,(ROW('Row Level Master Sheet'!$K$2:$K$1001)-ROW('Row Level Master Sheet'!$K$2)+1)/('Row Level Master Sheet'!$C$2:$C$1001="Digital"),ROWS($A$2:A516))),"")</f>
        <v>1.0899999999999999</v>
      </c>
      <c r="B516" s="39" t="str" cm="1">
        <f t="array" ref="B516">IFERROR(INDEX('Row Level Master Sheet'!$K$2:$K$1001,_xlfn.AGGREGATE(15,6,(ROW('Row Level Master Sheet'!$K$2:$K$1001)-ROW('Row Level Master Sheet'!$K$2)+1)/('Row Level Master Sheet'!$C$2:$C$1001="Traditional"),ROWS($B$2:B516))),"")</f>
        <v/>
      </c>
    </row>
    <row r="517" spans="1:2" x14ac:dyDescent="0.35">
      <c r="A517" cm="1">
        <f t="array" ref="A517">IFERROR(INDEX('Row Level Master Sheet'!$K$2:$K$1001,_xlfn.AGGREGATE(15,6,(ROW('Row Level Master Sheet'!$K$2:$K$1001)-ROW('Row Level Master Sheet'!$K$2)+1)/('Row Level Master Sheet'!$C$2:$C$1001="Digital"),ROWS($A$2:A517))),"")</f>
        <v>1.0899999999999999</v>
      </c>
      <c r="B517" s="39" t="str" cm="1">
        <f t="array" ref="B517">IFERROR(INDEX('Row Level Master Sheet'!$K$2:$K$1001,_xlfn.AGGREGATE(15,6,(ROW('Row Level Master Sheet'!$K$2:$K$1001)-ROW('Row Level Master Sheet'!$K$2)+1)/('Row Level Master Sheet'!$C$2:$C$1001="Traditional"),ROWS($B$2:B517))),"")</f>
        <v/>
      </c>
    </row>
    <row r="518" spans="1:2" x14ac:dyDescent="0.35">
      <c r="A518" cm="1">
        <f t="array" ref="A518">IFERROR(INDEX('Row Level Master Sheet'!$K$2:$K$1001,_xlfn.AGGREGATE(15,6,(ROW('Row Level Master Sheet'!$K$2:$K$1001)-ROW('Row Level Master Sheet'!$K$2)+1)/('Row Level Master Sheet'!$C$2:$C$1001="Digital"),ROWS($A$2:A518))),"")</f>
        <v>1.0999999999999999</v>
      </c>
      <c r="B518" s="39" t="str" cm="1">
        <f t="array" ref="B518">IFERROR(INDEX('Row Level Master Sheet'!$K$2:$K$1001,_xlfn.AGGREGATE(15,6,(ROW('Row Level Master Sheet'!$K$2:$K$1001)-ROW('Row Level Master Sheet'!$K$2)+1)/('Row Level Master Sheet'!$C$2:$C$1001="Traditional"),ROWS($B$2:B518))),"")</f>
        <v/>
      </c>
    </row>
    <row r="519" spans="1:2" x14ac:dyDescent="0.35">
      <c r="A519" cm="1">
        <f t="array" ref="A519">IFERROR(INDEX('Row Level Master Sheet'!$K$2:$K$1001,_xlfn.AGGREGATE(15,6,(ROW('Row Level Master Sheet'!$K$2:$K$1001)-ROW('Row Level Master Sheet'!$K$2)+1)/('Row Level Master Sheet'!$C$2:$C$1001="Digital"),ROWS($A$2:A519))),"")</f>
        <v>1.1000000000000001</v>
      </c>
      <c r="B519" s="39" t="str" cm="1">
        <f t="array" ref="B519">IFERROR(INDEX('Row Level Master Sheet'!$K$2:$K$1001,_xlfn.AGGREGATE(15,6,(ROW('Row Level Master Sheet'!$K$2:$K$1001)-ROW('Row Level Master Sheet'!$K$2)+1)/('Row Level Master Sheet'!$C$2:$C$1001="Traditional"),ROWS($B$2:B519))),"")</f>
        <v/>
      </c>
    </row>
    <row r="520" spans="1:2" x14ac:dyDescent="0.35">
      <c r="A520" cm="1">
        <f t="array" ref="A520">IFERROR(INDEX('Row Level Master Sheet'!$K$2:$K$1001,_xlfn.AGGREGATE(15,6,(ROW('Row Level Master Sheet'!$K$2:$K$1001)-ROW('Row Level Master Sheet'!$K$2)+1)/('Row Level Master Sheet'!$C$2:$C$1001="Digital"),ROWS($A$2:A520))),"")</f>
        <v>1.1100000000000001</v>
      </c>
      <c r="B520" s="39" t="str" cm="1">
        <f t="array" ref="B520">IFERROR(INDEX('Row Level Master Sheet'!$K$2:$K$1001,_xlfn.AGGREGATE(15,6,(ROW('Row Level Master Sheet'!$K$2:$K$1001)-ROW('Row Level Master Sheet'!$K$2)+1)/('Row Level Master Sheet'!$C$2:$C$1001="Traditional"),ROWS($B$2:B520))),"")</f>
        <v/>
      </c>
    </row>
    <row r="521" spans="1:2" x14ac:dyDescent="0.35">
      <c r="A521" cm="1">
        <f t="array" ref="A521">IFERROR(INDEX('Row Level Master Sheet'!$K$2:$K$1001,_xlfn.AGGREGATE(15,6,(ROW('Row Level Master Sheet'!$K$2:$K$1001)-ROW('Row Level Master Sheet'!$K$2)+1)/('Row Level Master Sheet'!$C$2:$C$1001="Digital"),ROWS($A$2:A521))),"")</f>
        <v>1.1200000000000001</v>
      </c>
      <c r="B521" s="39" t="str" cm="1">
        <f t="array" ref="B521">IFERROR(INDEX('Row Level Master Sheet'!$K$2:$K$1001,_xlfn.AGGREGATE(15,6,(ROW('Row Level Master Sheet'!$K$2:$K$1001)-ROW('Row Level Master Sheet'!$K$2)+1)/('Row Level Master Sheet'!$C$2:$C$1001="Traditional"),ROWS($B$2:B521))),"")</f>
        <v/>
      </c>
    </row>
    <row r="522" spans="1:2" x14ac:dyDescent="0.35">
      <c r="A522" cm="1">
        <f t="array" ref="A522">IFERROR(INDEX('Row Level Master Sheet'!$K$2:$K$1001,_xlfn.AGGREGATE(15,6,(ROW('Row Level Master Sheet'!$K$2:$K$1001)-ROW('Row Level Master Sheet'!$K$2)+1)/('Row Level Master Sheet'!$C$2:$C$1001="Digital"),ROWS($A$2:A522))),"")</f>
        <v>1.1200000000000001</v>
      </c>
      <c r="B522" s="39" t="str" cm="1">
        <f t="array" ref="B522">IFERROR(INDEX('Row Level Master Sheet'!$K$2:$K$1001,_xlfn.AGGREGATE(15,6,(ROW('Row Level Master Sheet'!$K$2:$K$1001)-ROW('Row Level Master Sheet'!$K$2)+1)/('Row Level Master Sheet'!$C$2:$C$1001="Traditional"),ROWS($B$2:B522))),"")</f>
        <v/>
      </c>
    </row>
    <row r="523" spans="1:2" x14ac:dyDescent="0.35">
      <c r="A523" cm="1">
        <f t="array" ref="A523">IFERROR(INDEX('Row Level Master Sheet'!$K$2:$K$1001,_xlfn.AGGREGATE(15,6,(ROW('Row Level Master Sheet'!$K$2:$K$1001)-ROW('Row Level Master Sheet'!$K$2)+1)/('Row Level Master Sheet'!$C$2:$C$1001="Digital"),ROWS($A$2:A523))),"")</f>
        <v>1.1200000000000001</v>
      </c>
      <c r="B523" s="39" t="str" cm="1">
        <f t="array" ref="B523">IFERROR(INDEX('Row Level Master Sheet'!$K$2:$K$1001,_xlfn.AGGREGATE(15,6,(ROW('Row Level Master Sheet'!$K$2:$K$1001)-ROW('Row Level Master Sheet'!$K$2)+1)/('Row Level Master Sheet'!$C$2:$C$1001="Traditional"),ROWS($B$2:B523))),"")</f>
        <v/>
      </c>
    </row>
    <row r="524" spans="1:2" x14ac:dyDescent="0.35">
      <c r="A524" cm="1">
        <f t="array" ref="A524">IFERROR(INDEX('Row Level Master Sheet'!$K$2:$K$1001,_xlfn.AGGREGATE(15,6,(ROW('Row Level Master Sheet'!$K$2:$K$1001)-ROW('Row Level Master Sheet'!$K$2)+1)/('Row Level Master Sheet'!$C$2:$C$1001="Digital"),ROWS($A$2:A524))),"")</f>
        <v>1.1299999999999997</v>
      </c>
      <c r="B524" s="39" t="str" cm="1">
        <f t="array" ref="B524">IFERROR(INDEX('Row Level Master Sheet'!$K$2:$K$1001,_xlfn.AGGREGATE(15,6,(ROW('Row Level Master Sheet'!$K$2:$K$1001)-ROW('Row Level Master Sheet'!$K$2)+1)/('Row Level Master Sheet'!$C$2:$C$1001="Traditional"),ROWS($B$2:B524))),"")</f>
        <v/>
      </c>
    </row>
    <row r="525" spans="1:2" x14ac:dyDescent="0.35">
      <c r="A525" cm="1">
        <f t="array" ref="A525">IFERROR(INDEX('Row Level Master Sheet'!$K$2:$K$1001,_xlfn.AGGREGATE(15,6,(ROW('Row Level Master Sheet'!$K$2:$K$1001)-ROW('Row Level Master Sheet'!$K$2)+1)/('Row Level Master Sheet'!$C$2:$C$1001="Digital"),ROWS($A$2:A525))),"")</f>
        <v>1.1299999999999999</v>
      </c>
      <c r="B525" s="39" t="str" cm="1">
        <f t="array" ref="B525">IFERROR(INDEX('Row Level Master Sheet'!$K$2:$K$1001,_xlfn.AGGREGATE(15,6,(ROW('Row Level Master Sheet'!$K$2:$K$1001)-ROW('Row Level Master Sheet'!$K$2)+1)/('Row Level Master Sheet'!$C$2:$C$1001="Traditional"),ROWS($B$2:B525))),"")</f>
        <v/>
      </c>
    </row>
    <row r="526" spans="1:2" x14ac:dyDescent="0.35">
      <c r="A526" cm="1">
        <f t="array" ref="A526">IFERROR(INDEX('Row Level Master Sheet'!$K$2:$K$1001,_xlfn.AGGREGATE(15,6,(ROW('Row Level Master Sheet'!$K$2:$K$1001)-ROW('Row Level Master Sheet'!$K$2)+1)/('Row Level Master Sheet'!$C$2:$C$1001="Digital"),ROWS($A$2:A526))),"")</f>
        <v>1.1300000000000001</v>
      </c>
      <c r="B526" s="39" t="str" cm="1">
        <f t="array" ref="B526">IFERROR(INDEX('Row Level Master Sheet'!$K$2:$K$1001,_xlfn.AGGREGATE(15,6,(ROW('Row Level Master Sheet'!$K$2:$K$1001)-ROW('Row Level Master Sheet'!$K$2)+1)/('Row Level Master Sheet'!$C$2:$C$1001="Traditional"),ROWS($B$2:B526))),"")</f>
        <v/>
      </c>
    </row>
    <row r="527" spans="1:2" x14ac:dyDescent="0.35">
      <c r="A527" cm="1">
        <f t="array" ref="A527">IFERROR(INDEX('Row Level Master Sheet'!$K$2:$K$1001,_xlfn.AGGREGATE(15,6,(ROW('Row Level Master Sheet'!$K$2:$K$1001)-ROW('Row Level Master Sheet'!$K$2)+1)/('Row Level Master Sheet'!$C$2:$C$1001="Digital"),ROWS($A$2:A527))),"")</f>
        <v>1.1300000000000001</v>
      </c>
      <c r="B527" s="39" t="str" cm="1">
        <f t="array" ref="B527">IFERROR(INDEX('Row Level Master Sheet'!$K$2:$K$1001,_xlfn.AGGREGATE(15,6,(ROW('Row Level Master Sheet'!$K$2:$K$1001)-ROW('Row Level Master Sheet'!$K$2)+1)/('Row Level Master Sheet'!$C$2:$C$1001="Traditional"),ROWS($B$2:B527))),"")</f>
        <v/>
      </c>
    </row>
    <row r="528" spans="1:2" x14ac:dyDescent="0.35">
      <c r="A528" cm="1">
        <f t="array" ref="A528">IFERROR(INDEX('Row Level Master Sheet'!$K$2:$K$1001,_xlfn.AGGREGATE(15,6,(ROW('Row Level Master Sheet'!$K$2:$K$1001)-ROW('Row Level Master Sheet'!$K$2)+1)/('Row Level Master Sheet'!$C$2:$C$1001="Digital"),ROWS($A$2:A528))),"")</f>
        <v>1.1399999999999997</v>
      </c>
      <c r="B528" s="39" t="str" cm="1">
        <f t="array" ref="B528">IFERROR(INDEX('Row Level Master Sheet'!$K$2:$K$1001,_xlfn.AGGREGATE(15,6,(ROW('Row Level Master Sheet'!$K$2:$K$1001)-ROW('Row Level Master Sheet'!$K$2)+1)/('Row Level Master Sheet'!$C$2:$C$1001="Traditional"),ROWS($B$2:B528))),"")</f>
        <v/>
      </c>
    </row>
    <row r="529" spans="1:2" x14ac:dyDescent="0.35">
      <c r="A529" cm="1">
        <f t="array" ref="A529">IFERROR(INDEX('Row Level Master Sheet'!$K$2:$K$1001,_xlfn.AGGREGATE(15,6,(ROW('Row Level Master Sheet'!$K$2:$K$1001)-ROW('Row Level Master Sheet'!$K$2)+1)/('Row Level Master Sheet'!$C$2:$C$1001="Digital"),ROWS($A$2:A529))),"")</f>
        <v>1.1399999999999999</v>
      </c>
      <c r="B529" s="39" t="str" cm="1">
        <f t="array" ref="B529">IFERROR(INDEX('Row Level Master Sheet'!$K$2:$K$1001,_xlfn.AGGREGATE(15,6,(ROW('Row Level Master Sheet'!$K$2:$K$1001)-ROW('Row Level Master Sheet'!$K$2)+1)/('Row Level Master Sheet'!$C$2:$C$1001="Traditional"),ROWS($B$2:B529))),"")</f>
        <v/>
      </c>
    </row>
    <row r="530" spans="1:2" x14ac:dyDescent="0.35">
      <c r="A530" cm="1">
        <f t="array" ref="A530">IFERROR(INDEX('Row Level Master Sheet'!$K$2:$K$1001,_xlfn.AGGREGATE(15,6,(ROW('Row Level Master Sheet'!$K$2:$K$1001)-ROW('Row Level Master Sheet'!$K$2)+1)/('Row Level Master Sheet'!$C$2:$C$1001="Digital"),ROWS($A$2:A530))),"")</f>
        <v>1.1400000000000001</v>
      </c>
      <c r="B530" s="39" t="str" cm="1">
        <f t="array" ref="B530">IFERROR(INDEX('Row Level Master Sheet'!$K$2:$K$1001,_xlfn.AGGREGATE(15,6,(ROW('Row Level Master Sheet'!$K$2:$K$1001)-ROW('Row Level Master Sheet'!$K$2)+1)/('Row Level Master Sheet'!$C$2:$C$1001="Traditional"),ROWS($B$2:B530))),"")</f>
        <v/>
      </c>
    </row>
    <row r="531" spans="1:2" x14ac:dyDescent="0.35">
      <c r="A531" cm="1">
        <f t="array" ref="A531">IFERROR(INDEX('Row Level Master Sheet'!$K$2:$K$1001,_xlfn.AGGREGATE(15,6,(ROW('Row Level Master Sheet'!$K$2:$K$1001)-ROW('Row Level Master Sheet'!$K$2)+1)/('Row Level Master Sheet'!$C$2:$C$1001="Digital"),ROWS($A$2:A531))),"")</f>
        <v>1.1499999999999999</v>
      </c>
      <c r="B531" s="39" t="str" cm="1">
        <f t="array" ref="B531">IFERROR(INDEX('Row Level Master Sheet'!$K$2:$K$1001,_xlfn.AGGREGATE(15,6,(ROW('Row Level Master Sheet'!$K$2:$K$1001)-ROW('Row Level Master Sheet'!$K$2)+1)/('Row Level Master Sheet'!$C$2:$C$1001="Traditional"),ROWS($B$2:B531))),"")</f>
        <v/>
      </c>
    </row>
    <row r="532" spans="1:2" x14ac:dyDescent="0.35">
      <c r="A532" cm="1">
        <f t="array" ref="A532">IFERROR(INDEX('Row Level Master Sheet'!$K$2:$K$1001,_xlfn.AGGREGATE(15,6,(ROW('Row Level Master Sheet'!$K$2:$K$1001)-ROW('Row Level Master Sheet'!$K$2)+1)/('Row Level Master Sheet'!$C$2:$C$1001="Digital"),ROWS($A$2:A532))),"")</f>
        <v>1.1499999999999999</v>
      </c>
      <c r="B532" s="39" t="str" cm="1">
        <f t="array" ref="B532">IFERROR(INDEX('Row Level Master Sheet'!$K$2:$K$1001,_xlfn.AGGREGATE(15,6,(ROW('Row Level Master Sheet'!$K$2:$K$1001)-ROW('Row Level Master Sheet'!$K$2)+1)/('Row Level Master Sheet'!$C$2:$C$1001="Traditional"),ROWS($B$2:B532))),"")</f>
        <v/>
      </c>
    </row>
    <row r="533" spans="1:2" x14ac:dyDescent="0.35">
      <c r="A533" cm="1">
        <f t="array" ref="A533">IFERROR(INDEX('Row Level Master Sheet'!$K$2:$K$1001,_xlfn.AGGREGATE(15,6,(ROW('Row Level Master Sheet'!$K$2:$K$1001)-ROW('Row Level Master Sheet'!$K$2)+1)/('Row Level Master Sheet'!$C$2:$C$1001="Digital"),ROWS($A$2:A533))),"")</f>
        <v>1.1500000000000001</v>
      </c>
      <c r="B533" s="39" t="str" cm="1">
        <f t="array" ref="B533">IFERROR(INDEX('Row Level Master Sheet'!$K$2:$K$1001,_xlfn.AGGREGATE(15,6,(ROW('Row Level Master Sheet'!$K$2:$K$1001)-ROW('Row Level Master Sheet'!$K$2)+1)/('Row Level Master Sheet'!$C$2:$C$1001="Traditional"),ROWS($B$2:B533))),"")</f>
        <v/>
      </c>
    </row>
    <row r="534" spans="1:2" x14ac:dyDescent="0.35">
      <c r="A534" cm="1">
        <f t="array" ref="A534">IFERROR(INDEX('Row Level Master Sheet'!$K$2:$K$1001,_xlfn.AGGREGATE(15,6,(ROW('Row Level Master Sheet'!$K$2:$K$1001)-ROW('Row Level Master Sheet'!$K$2)+1)/('Row Level Master Sheet'!$C$2:$C$1001="Digital"),ROWS($A$2:A534))),"")</f>
        <v>1.1500000000000001</v>
      </c>
      <c r="B534" s="39" t="str" cm="1">
        <f t="array" ref="B534">IFERROR(INDEX('Row Level Master Sheet'!$K$2:$K$1001,_xlfn.AGGREGATE(15,6,(ROW('Row Level Master Sheet'!$K$2:$K$1001)-ROW('Row Level Master Sheet'!$K$2)+1)/('Row Level Master Sheet'!$C$2:$C$1001="Traditional"),ROWS($B$2:B534))),"")</f>
        <v/>
      </c>
    </row>
    <row r="535" spans="1:2" x14ac:dyDescent="0.35">
      <c r="A535" cm="1">
        <f t="array" ref="A535">IFERROR(INDEX('Row Level Master Sheet'!$K$2:$K$1001,_xlfn.AGGREGATE(15,6,(ROW('Row Level Master Sheet'!$K$2:$K$1001)-ROW('Row Level Master Sheet'!$K$2)+1)/('Row Level Master Sheet'!$C$2:$C$1001="Digital"),ROWS($A$2:A535))),"")</f>
        <v>1.1500000000000001</v>
      </c>
      <c r="B535" s="39" t="str" cm="1">
        <f t="array" ref="B535">IFERROR(INDEX('Row Level Master Sheet'!$K$2:$K$1001,_xlfn.AGGREGATE(15,6,(ROW('Row Level Master Sheet'!$K$2:$K$1001)-ROW('Row Level Master Sheet'!$K$2)+1)/('Row Level Master Sheet'!$C$2:$C$1001="Traditional"),ROWS($B$2:B535))),"")</f>
        <v/>
      </c>
    </row>
    <row r="536" spans="1:2" x14ac:dyDescent="0.35">
      <c r="A536" cm="1">
        <f t="array" ref="A536">IFERROR(INDEX('Row Level Master Sheet'!$K$2:$K$1001,_xlfn.AGGREGATE(15,6,(ROW('Row Level Master Sheet'!$K$2:$K$1001)-ROW('Row Level Master Sheet'!$K$2)+1)/('Row Level Master Sheet'!$C$2:$C$1001="Digital"),ROWS($A$2:A536))),"")</f>
        <v>1.1500000000000001</v>
      </c>
      <c r="B536" s="39" t="str" cm="1">
        <f t="array" ref="B536">IFERROR(INDEX('Row Level Master Sheet'!$K$2:$K$1001,_xlfn.AGGREGATE(15,6,(ROW('Row Level Master Sheet'!$K$2:$K$1001)-ROW('Row Level Master Sheet'!$K$2)+1)/('Row Level Master Sheet'!$C$2:$C$1001="Traditional"),ROWS($B$2:B536))),"")</f>
        <v/>
      </c>
    </row>
    <row r="537" spans="1:2" x14ac:dyDescent="0.35">
      <c r="A537" cm="1">
        <f t="array" ref="A537">IFERROR(INDEX('Row Level Master Sheet'!$K$2:$K$1001,_xlfn.AGGREGATE(15,6,(ROW('Row Level Master Sheet'!$K$2:$K$1001)-ROW('Row Level Master Sheet'!$K$2)+1)/('Row Level Master Sheet'!$C$2:$C$1001="Digital"),ROWS($A$2:A537))),"")</f>
        <v>1.1500000000000004</v>
      </c>
      <c r="B537" s="39" t="str" cm="1">
        <f t="array" ref="B537">IFERROR(INDEX('Row Level Master Sheet'!$K$2:$K$1001,_xlfn.AGGREGATE(15,6,(ROW('Row Level Master Sheet'!$K$2:$K$1001)-ROW('Row Level Master Sheet'!$K$2)+1)/('Row Level Master Sheet'!$C$2:$C$1001="Traditional"),ROWS($B$2:B537))),"")</f>
        <v/>
      </c>
    </row>
    <row r="538" spans="1:2" x14ac:dyDescent="0.35">
      <c r="A538" cm="1">
        <f t="array" ref="A538">IFERROR(INDEX('Row Level Master Sheet'!$K$2:$K$1001,_xlfn.AGGREGATE(15,6,(ROW('Row Level Master Sheet'!$K$2:$K$1001)-ROW('Row Level Master Sheet'!$K$2)+1)/('Row Level Master Sheet'!$C$2:$C$1001="Digital"),ROWS($A$2:A538))),"")</f>
        <v>1.1600000000000001</v>
      </c>
      <c r="B538" s="39" t="str" cm="1">
        <f t="array" ref="B538">IFERROR(INDEX('Row Level Master Sheet'!$K$2:$K$1001,_xlfn.AGGREGATE(15,6,(ROW('Row Level Master Sheet'!$K$2:$K$1001)-ROW('Row Level Master Sheet'!$K$2)+1)/('Row Level Master Sheet'!$C$2:$C$1001="Traditional"),ROWS($B$2:B538))),"")</f>
        <v/>
      </c>
    </row>
    <row r="539" spans="1:2" x14ac:dyDescent="0.35">
      <c r="A539" cm="1">
        <f t="array" ref="A539">IFERROR(INDEX('Row Level Master Sheet'!$K$2:$K$1001,_xlfn.AGGREGATE(15,6,(ROW('Row Level Master Sheet'!$K$2:$K$1001)-ROW('Row Level Master Sheet'!$K$2)+1)/('Row Level Master Sheet'!$C$2:$C$1001="Digital"),ROWS($A$2:A539))),"")</f>
        <v>1.17</v>
      </c>
      <c r="B539" s="39" t="str" cm="1">
        <f t="array" ref="B539">IFERROR(INDEX('Row Level Master Sheet'!$K$2:$K$1001,_xlfn.AGGREGATE(15,6,(ROW('Row Level Master Sheet'!$K$2:$K$1001)-ROW('Row Level Master Sheet'!$K$2)+1)/('Row Level Master Sheet'!$C$2:$C$1001="Traditional"),ROWS($B$2:B539))),"")</f>
        <v/>
      </c>
    </row>
    <row r="540" spans="1:2" x14ac:dyDescent="0.35">
      <c r="A540" cm="1">
        <f t="array" ref="A540">IFERROR(INDEX('Row Level Master Sheet'!$K$2:$K$1001,_xlfn.AGGREGATE(15,6,(ROW('Row Level Master Sheet'!$K$2:$K$1001)-ROW('Row Level Master Sheet'!$K$2)+1)/('Row Level Master Sheet'!$C$2:$C$1001="Digital"),ROWS($A$2:A540))),"")</f>
        <v>1.17</v>
      </c>
      <c r="B540" s="39" t="str" cm="1">
        <f t="array" ref="B540">IFERROR(INDEX('Row Level Master Sheet'!$K$2:$K$1001,_xlfn.AGGREGATE(15,6,(ROW('Row Level Master Sheet'!$K$2:$K$1001)-ROW('Row Level Master Sheet'!$K$2)+1)/('Row Level Master Sheet'!$C$2:$C$1001="Traditional"),ROWS($B$2:B540))),"")</f>
        <v/>
      </c>
    </row>
    <row r="541" spans="1:2" x14ac:dyDescent="0.35">
      <c r="A541" cm="1">
        <f t="array" ref="A541">IFERROR(INDEX('Row Level Master Sheet'!$K$2:$K$1001,_xlfn.AGGREGATE(15,6,(ROW('Row Level Master Sheet'!$K$2:$K$1001)-ROW('Row Level Master Sheet'!$K$2)+1)/('Row Level Master Sheet'!$C$2:$C$1001="Digital"),ROWS($A$2:A541))),"")</f>
        <v>1.17</v>
      </c>
      <c r="B541" s="39" t="str" cm="1">
        <f t="array" ref="B541">IFERROR(INDEX('Row Level Master Sheet'!$K$2:$K$1001,_xlfn.AGGREGATE(15,6,(ROW('Row Level Master Sheet'!$K$2:$K$1001)-ROW('Row Level Master Sheet'!$K$2)+1)/('Row Level Master Sheet'!$C$2:$C$1001="Traditional"),ROWS($B$2:B541))),"")</f>
        <v/>
      </c>
    </row>
    <row r="542" spans="1:2" x14ac:dyDescent="0.35">
      <c r="A542" cm="1">
        <f t="array" ref="A542">IFERROR(INDEX('Row Level Master Sheet'!$K$2:$K$1001,_xlfn.AGGREGATE(15,6,(ROW('Row Level Master Sheet'!$K$2:$K$1001)-ROW('Row Level Master Sheet'!$K$2)+1)/('Row Level Master Sheet'!$C$2:$C$1001="Digital"),ROWS($A$2:A542))),"")</f>
        <v>1.1700000000000002</v>
      </c>
      <c r="B542" s="39" t="str" cm="1">
        <f t="array" ref="B542">IFERROR(INDEX('Row Level Master Sheet'!$K$2:$K$1001,_xlfn.AGGREGATE(15,6,(ROW('Row Level Master Sheet'!$K$2:$K$1001)-ROW('Row Level Master Sheet'!$K$2)+1)/('Row Level Master Sheet'!$C$2:$C$1001="Traditional"),ROWS($B$2:B542))),"")</f>
        <v/>
      </c>
    </row>
    <row r="543" spans="1:2" x14ac:dyDescent="0.35">
      <c r="A543" cm="1">
        <f t="array" ref="A543">IFERROR(INDEX('Row Level Master Sheet'!$K$2:$K$1001,_xlfn.AGGREGATE(15,6,(ROW('Row Level Master Sheet'!$K$2:$K$1001)-ROW('Row Level Master Sheet'!$K$2)+1)/('Row Level Master Sheet'!$C$2:$C$1001="Digital"),ROWS($A$2:A543))),"")</f>
        <v>1.1799999999999997</v>
      </c>
      <c r="B543" s="39" t="str" cm="1">
        <f t="array" ref="B543">IFERROR(INDEX('Row Level Master Sheet'!$K$2:$K$1001,_xlfn.AGGREGATE(15,6,(ROW('Row Level Master Sheet'!$K$2:$K$1001)-ROW('Row Level Master Sheet'!$K$2)+1)/('Row Level Master Sheet'!$C$2:$C$1001="Traditional"),ROWS($B$2:B543))),"")</f>
        <v/>
      </c>
    </row>
    <row r="544" spans="1:2" x14ac:dyDescent="0.35">
      <c r="A544" cm="1">
        <f t="array" ref="A544">IFERROR(INDEX('Row Level Master Sheet'!$K$2:$K$1001,_xlfn.AGGREGATE(15,6,(ROW('Row Level Master Sheet'!$K$2:$K$1001)-ROW('Row Level Master Sheet'!$K$2)+1)/('Row Level Master Sheet'!$C$2:$C$1001="Digital"),ROWS($A$2:A544))),"")</f>
        <v>1.18</v>
      </c>
      <c r="B544" s="39" t="str" cm="1">
        <f t="array" ref="B544">IFERROR(INDEX('Row Level Master Sheet'!$K$2:$K$1001,_xlfn.AGGREGATE(15,6,(ROW('Row Level Master Sheet'!$K$2:$K$1001)-ROW('Row Level Master Sheet'!$K$2)+1)/('Row Level Master Sheet'!$C$2:$C$1001="Traditional"),ROWS($B$2:B544))),"")</f>
        <v/>
      </c>
    </row>
    <row r="545" spans="1:2" x14ac:dyDescent="0.35">
      <c r="A545" cm="1">
        <f t="array" ref="A545">IFERROR(INDEX('Row Level Master Sheet'!$K$2:$K$1001,_xlfn.AGGREGATE(15,6,(ROW('Row Level Master Sheet'!$K$2:$K$1001)-ROW('Row Level Master Sheet'!$K$2)+1)/('Row Level Master Sheet'!$C$2:$C$1001="Digital"),ROWS($A$2:A545))),"")</f>
        <v>1.1800000000000002</v>
      </c>
      <c r="B545" s="39" t="str" cm="1">
        <f t="array" ref="B545">IFERROR(INDEX('Row Level Master Sheet'!$K$2:$K$1001,_xlfn.AGGREGATE(15,6,(ROW('Row Level Master Sheet'!$K$2:$K$1001)-ROW('Row Level Master Sheet'!$K$2)+1)/('Row Level Master Sheet'!$C$2:$C$1001="Traditional"),ROWS($B$2:B545))),"")</f>
        <v/>
      </c>
    </row>
    <row r="546" spans="1:2" x14ac:dyDescent="0.35">
      <c r="A546" cm="1">
        <f t="array" ref="A546">IFERROR(INDEX('Row Level Master Sheet'!$K$2:$K$1001,_xlfn.AGGREGATE(15,6,(ROW('Row Level Master Sheet'!$K$2:$K$1001)-ROW('Row Level Master Sheet'!$K$2)+1)/('Row Level Master Sheet'!$C$2:$C$1001="Digital"),ROWS($A$2:A546))),"")</f>
        <v>1.1800000000000002</v>
      </c>
      <c r="B546" s="39" t="str" cm="1">
        <f t="array" ref="B546">IFERROR(INDEX('Row Level Master Sheet'!$K$2:$K$1001,_xlfn.AGGREGATE(15,6,(ROW('Row Level Master Sheet'!$K$2:$K$1001)-ROW('Row Level Master Sheet'!$K$2)+1)/('Row Level Master Sheet'!$C$2:$C$1001="Traditional"),ROWS($B$2:B546))),"")</f>
        <v/>
      </c>
    </row>
    <row r="547" spans="1:2" x14ac:dyDescent="0.35">
      <c r="A547" cm="1">
        <f t="array" ref="A547">IFERROR(INDEX('Row Level Master Sheet'!$K$2:$K$1001,_xlfn.AGGREGATE(15,6,(ROW('Row Level Master Sheet'!$K$2:$K$1001)-ROW('Row Level Master Sheet'!$K$2)+1)/('Row Level Master Sheet'!$C$2:$C$1001="Digital"),ROWS($A$2:A547))),"")</f>
        <v>1.1800000000000002</v>
      </c>
      <c r="B547" s="39" t="str" cm="1">
        <f t="array" ref="B547">IFERROR(INDEX('Row Level Master Sheet'!$K$2:$K$1001,_xlfn.AGGREGATE(15,6,(ROW('Row Level Master Sheet'!$K$2:$K$1001)-ROW('Row Level Master Sheet'!$K$2)+1)/('Row Level Master Sheet'!$C$2:$C$1001="Traditional"),ROWS($B$2:B547))),"")</f>
        <v/>
      </c>
    </row>
    <row r="548" spans="1:2" x14ac:dyDescent="0.35">
      <c r="A548" cm="1">
        <f t="array" ref="A548">IFERROR(INDEX('Row Level Master Sheet'!$K$2:$K$1001,_xlfn.AGGREGATE(15,6,(ROW('Row Level Master Sheet'!$K$2:$K$1001)-ROW('Row Level Master Sheet'!$K$2)+1)/('Row Level Master Sheet'!$C$2:$C$1001="Digital"),ROWS($A$2:A548))),"")</f>
        <v>1.1899999999999997</v>
      </c>
      <c r="B548" s="39" t="str" cm="1">
        <f t="array" ref="B548">IFERROR(INDEX('Row Level Master Sheet'!$K$2:$K$1001,_xlfn.AGGREGATE(15,6,(ROW('Row Level Master Sheet'!$K$2:$K$1001)-ROW('Row Level Master Sheet'!$K$2)+1)/('Row Level Master Sheet'!$C$2:$C$1001="Traditional"),ROWS($B$2:B548))),"")</f>
        <v/>
      </c>
    </row>
    <row r="549" spans="1:2" x14ac:dyDescent="0.35">
      <c r="A549" cm="1">
        <f t="array" ref="A549">IFERROR(INDEX('Row Level Master Sheet'!$K$2:$K$1001,_xlfn.AGGREGATE(15,6,(ROW('Row Level Master Sheet'!$K$2:$K$1001)-ROW('Row Level Master Sheet'!$K$2)+1)/('Row Level Master Sheet'!$C$2:$C$1001="Digital"),ROWS($A$2:A549))),"")</f>
        <v>1.1899999999999997</v>
      </c>
      <c r="B549" s="39" t="str" cm="1">
        <f t="array" ref="B549">IFERROR(INDEX('Row Level Master Sheet'!$K$2:$K$1001,_xlfn.AGGREGATE(15,6,(ROW('Row Level Master Sheet'!$K$2:$K$1001)-ROW('Row Level Master Sheet'!$K$2)+1)/('Row Level Master Sheet'!$C$2:$C$1001="Traditional"),ROWS($B$2:B549))),"")</f>
        <v/>
      </c>
    </row>
    <row r="550" spans="1:2" x14ac:dyDescent="0.35">
      <c r="A550" cm="1">
        <f t="array" ref="A550">IFERROR(INDEX('Row Level Master Sheet'!$K$2:$K$1001,_xlfn.AGGREGATE(15,6,(ROW('Row Level Master Sheet'!$K$2:$K$1001)-ROW('Row Level Master Sheet'!$K$2)+1)/('Row Level Master Sheet'!$C$2:$C$1001="Digital"),ROWS($A$2:A550))),"")</f>
        <v>1.1899999999999997</v>
      </c>
      <c r="B550" s="39" t="str" cm="1">
        <f t="array" ref="B550">IFERROR(INDEX('Row Level Master Sheet'!$K$2:$K$1001,_xlfn.AGGREGATE(15,6,(ROW('Row Level Master Sheet'!$K$2:$K$1001)-ROW('Row Level Master Sheet'!$K$2)+1)/('Row Level Master Sheet'!$C$2:$C$1001="Traditional"),ROWS($B$2:B550))),"")</f>
        <v/>
      </c>
    </row>
    <row r="551" spans="1:2" x14ac:dyDescent="0.35">
      <c r="A551" cm="1">
        <f t="array" ref="A551">IFERROR(INDEX('Row Level Master Sheet'!$K$2:$K$1001,_xlfn.AGGREGATE(15,6,(ROW('Row Level Master Sheet'!$K$2:$K$1001)-ROW('Row Level Master Sheet'!$K$2)+1)/('Row Level Master Sheet'!$C$2:$C$1001="Digital"),ROWS($A$2:A551))),"")</f>
        <v>1.19</v>
      </c>
      <c r="B551" s="39" t="str" cm="1">
        <f t="array" ref="B551">IFERROR(INDEX('Row Level Master Sheet'!$K$2:$K$1001,_xlfn.AGGREGATE(15,6,(ROW('Row Level Master Sheet'!$K$2:$K$1001)-ROW('Row Level Master Sheet'!$K$2)+1)/('Row Level Master Sheet'!$C$2:$C$1001="Traditional"),ROWS($B$2:B551))),"")</f>
        <v/>
      </c>
    </row>
    <row r="552" spans="1:2" x14ac:dyDescent="0.35">
      <c r="A552" cm="1">
        <f t="array" ref="A552">IFERROR(INDEX('Row Level Master Sheet'!$K$2:$K$1001,_xlfn.AGGREGATE(15,6,(ROW('Row Level Master Sheet'!$K$2:$K$1001)-ROW('Row Level Master Sheet'!$K$2)+1)/('Row Level Master Sheet'!$C$2:$C$1001="Digital"),ROWS($A$2:A552))),"")</f>
        <v>1.19</v>
      </c>
      <c r="B552" s="39" t="str" cm="1">
        <f t="array" ref="B552">IFERROR(INDEX('Row Level Master Sheet'!$K$2:$K$1001,_xlfn.AGGREGATE(15,6,(ROW('Row Level Master Sheet'!$K$2:$K$1001)-ROW('Row Level Master Sheet'!$K$2)+1)/('Row Level Master Sheet'!$C$2:$C$1001="Traditional"),ROWS($B$2:B552))),"")</f>
        <v/>
      </c>
    </row>
    <row r="553" spans="1:2" x14ac:dyDescent="0.35">
      <c r="A553" cm="1">
        <f t="array" ref="A553">IFERROR(INDEX('Row Level Master Sheet'!$K$2:$K$1001,_xlfn.AGGREGATE(15,6,(ROW('Row Level Master Sheet'!$K$2:$K$1001)-ROW('Row Level Master Sheet'!$K$2)+1)/('Row Level Master Sheet'!$C$2:$C$1001="Digital"),ROWS($A$2:A553))),"")</f>
        <v>1.1900000000000002</v>
      </c>
      <c r="B553" s="39" t="str" cm="1">
        <f t="array" ref="B553">IFERROR(INDEX('Row Level Master Sheet'!$K$2:$K$1001,_xlfn.AGGREGATE(15,6,(ROW('Row Level Master Sheet'!$K$2:$K$1001)-ROW('Row Level Master Sheet'!$K$2)+1)/('Row Level Master Sheet'!$C$2:$C$1001="Traditional"),ROWS($B$2:B553))),"")</f>
        <v/>
      </c>
    </row>
    <row r="554" spans="1:2" x14ac:dyDescent="0.35">
      <c r="A554" cm="1">
        <f t="array" ref="A554">IFERROR(INDEX('Row Level Master Sheet'!$K$2:$K$1001,_xlfn.AGGREGATE(15,6,(ROW('Row Level Master Sheet'!$K$2:$K$1001)-ROW('Row Level Master Sheet'!$K$2)+1)/('Row Level Master Sheet'!$C$2:$C$1001="Digital"),ROWS($A$2:A554))),"")</f>
        <v>1.1900000000000002</v>
      </c>
      <c r="B554" s="39" t="str" cm="1">
        <f t="array" ref="B554">IFERROR(INDEX('Row Level Master Sheet'!$K$2:$K$1001,_xlfn.AGGREGATE(15,6,(ROW('Row Level Master Sheet'!$K$2:$K$1001)-ROW('Row Level Master Sheet'!$K$2)+1)/('Row Level Master Sheet'!$C$2:$C$1001="Traditional"),ROWS($B$2:B554))),"")</f>
        <v/>
      </c>
    </row>
    <row r="555" spans="1:2" x14ac:dyDescent="0.35">
      <c r="A555" cm="1">
        <f t="array" ref="A555">IFERROR(INDEX('Row Level Master Sheet'!$K$2:$K$1001,_xlfn.AGGREGATE(15,6,(ROW('Row Level Master Sheet'!$K$2:$K$1001)-ROW('Row Level Master Sheet'!$K$2)+1)/('Row Level Master Sheet'!$C$2:$C$1001="Digital"),ROWS($A$2:A555))),"")</f>
        <v>1.1900000000000004</v>
      </c>
      <c r="B555" s="39" t="str" cm="1">
        <f t="array" ref="B555">IFERROR(INDEX('Row Level Master Sheet'!$K$2:$K$1001,_xlfn.AGGREGATE(15,6,(ROW('Row Level Master Sheet'!$K$2:$K$1001)-ROW('Row Level Master Sheet'!$K$2)+1)/('Row Level Master Sheet'!$C$2:$C$1001="Traditional"),ROWS($B$2:B555))),"")</f>
        <v/>
      </c>
    </row>
    <row r="556" spans="1:2" x14ac:dyDescent="0.35">
      <c r="A556" cm="1">
        <f t="array" ref="A556">IFERROR(INDEX('Row Level Master Sheet'!$K$2:$K$1001,_xlfn.AGGREGATE(15,6,(ROW('Row Level Master Sheet'!$K$2:$K$1001)-ROW('Row Level Master Sheet'!$K$2)+1)/('Row Level Master Sheet'!$C$2:$C$1001="Digital"),ROWS($A$2:A556))),"")</f>
        <v>1.2</v>
      </c>
      <c r="B556" s="39" t="str" cm="1">
        <f t="array" ref="B556">IFERROR(INDEX('Row Level Master Sheet'!$K$2:$K$1001,_xlfn.AGGREGATE(15,6,(ROW('Row Level Master Sheet'!$K$2:$K$1001)-ROW('Row Level Master Sheet'!$K$2)+1)/('Row Level Master Sheet'!$C$2:$C$1001="Traditional"),ROWS($B$2:B556))),"")</f>
        <v/>
      </c>
    </row>
    <row r="557" spans="1:2" x14ac:dyDescent="0.35">
      <c r="A557" cm="1">
        <f t="array" ref="A557">IFERROR(INDEX('Row Level Master Sheet'!$K$2:$K$1001,_xlfn.AGGREGATE(15,6,(ROW('Row Level Master Sheet'!$K$2:$K$1001)-ROW('Row Level Master Sheet'!$K$2)+1)/('Row Level Master Sheet'!$C$2:$C$1001="Digital"),ROWS($A$2:A557))),"")</f>
        <v>1.2</v>
      </c>
      <c r="B557" s="39" t="str" cm="1">
        <f t="array" ref="B557">IFERROR(INDEX('Row Level Master Sheet'!$K$2:$K$1001,_xlfn.AGGREGATE(15,6,(ROW('Row Level Master Sheet'!$K$2:$K$1001)-ROW('Row Level Master Sheet'!$K$2)+1)/('Row Level Master Sheet'!$C$2:$C$1001="Traditional"),ROWS($B$2:B557))),"")</f>
        <v/>
      </c>
    </row>
    <row r="558" spans="1:2" x14ac:dyDescent="0.35">
      <c r="A558" cm="1">
        <f t="array" ref="A558">IFERROR(INDEX('Row Level Master Sheet'!$K$2:$K$1001,_xlfn.AGGREGATE(15,6,(ROW('Row Level Master Sheet'!$K$2:$K$1001)-ROW('Row Level Master Sheet'!$K$2)+1)/('Row Level Master Sheet'!$C$2:$C$1001="Digital"),ROWS($A$2:A558))),"")</f>
        <v>1.2</v>
      </c>
      <c r="B558" s="39" t="str" cm="1">
        <f t="array" ref="B558">IFERROR(INDEX('Row Level Master Sheet'!$K$2:$K$1001,_xlfn.AGGREGATE(15,6,(ROW('Row Level Master Sheet'!$K$2:$K$1001)-ROW('Row Level Master Sheet'!$K$2)+1)/('Row Level Master Sheet'!$C$2:$C$1001="Traditional"),ROWS($B$2:B558))),"")</f>
        <v/>
      </c>
    </row>
    <row r="559" spans="1:2" x14ac:dyDescent="0.35">
      <c r="A559" cm="1">
        <f t="array" ref="A559">IFERROR(INDEX('Row Level Master Sheet'!$K$2:$K$1001,_xlfn.AGGREGATE(15,6,(ROW('Row Level Master Sheet'!$K$2:$K$1001)-ROW('Row Level Master Sheet'!$K$2)+1)/('Row Level Master Sheet'!$C$2:$C$1001="Digital"),ROWS($A$2:A559))),"")</f>
        <v>1.2</v>
      </c>
      <c r="B559" s="39" t="str" cm="1">
        <f t="array" ref="B559">IFERROR(INDEX('Row Level Master Sheet'!$K$2:$K$1001,_xlfn.AGGREGATE(15,6,(ROW('Row Level Master Sheet'!$K$2:$K$1001)-ROW('Row Level Master Sheet'!$K$2)+1)/('Row Level Master Sheet'!$C$2:$C$1001="Traditional"),ROWS($B$2:B559))),"")</f>
        <v/>
      </c>
    </row>
    <row r="560" spans="1:2" x14ac:dyDescent="0.35">
      <c r="A560" cm="1">
        <f t="array" ref="A560">IFERROR(INDEX('Row Level Master Sheet'!$K$2:$K$1001,_xlfn.AGGREGATE(15,6,(ROW('Row Level Master Sheet'!$K$2:$K$1001)-ROW('Row Level Master Sheet'!$K$2)+1)/('Row Level Master Sheet'!$C$2:$C$1001="Digital"),ROWS($A$2:A560))),"")</f>
        <v>1.2</v>
      </c>
      <c r="B560" s="39" t="str" cm="1">
        <f t="array" ref="B560">IFERROR(INDEX('Row Level Master Sheet'!$K$2:$K$1001,_xlfn.AGGREGATE(15,6,(ROW('Row Level Master Sheet'!$K$2:$K$1001)-ROW('Row Level Master Sheet'!$K$2)+1)/('Row Level Master Sheet'!$C$2:$C$1001="Traditional"),ROWS($B$2:B560))),"")</f>
        <v/>
      </c>
    </row>
    <row r="561" spans="1:2" x14ac:dyDescent="0.35">
      <c r="A561" cm="1">
        <f t="array" ref="A561">IFERROR(INDEX('Row Level Master Sheet'!$K$2:$K$1001,_xlfn.AGGREGATE(15,6,(ROW('Row Level Master Sheet'!$K$2:$K$1001)-ROW('Row Level Master Sheet'!$K$2)+1)/('Row Level Master Sheet'!$C$2:$C$1001="Digital"),ROWS($A$2:A561))),"")</f>
        <v>1.2199999999999998</v>
      </c>
      <c r="B561" s="39" t="str" cm="1">
        <f t="array" ref="B561">IFERROR(INDEX('Row Level Master Sheet'!$K$2:$K$1001,_xlfn.AGGREGATE(15,6,(ROW('Row Level Master Sheet'!$K$2:$K$1001)-ROW('Row Level Master Sheet'!$K$2)+1)/('Row Level Master Sheet'!$C$2:$C$1001="Traditional"),ROWS($B$2:B561))),"")</f>
        <v/>
      </c>
    </row>
    <row r="562" spans="1:2" x14ac:dyDescent="0.35">
      <c r="A562" cm="1">
        <f t="array" ref="A562">IFERROR(INDEX('Row Level Master Sheet'!$K$2:$K$1001,_xlfn.AGGREGATE(15,6,(ROW('Row Level Master Sheet'!$K$2:$K$1001)-ROW('Row Level Master Sheet'!$K$2)+1)/('Row Level Master Sheet'!$C$2:$C$1001="Digital"),ROWS($A$2:A562))),"")</f>
        <v>1.2199999999999998</v>
      </c>
      <c r="B562" s="39" t="str" cm="1">
        <f t="array" ref="B562">IFERROR(INDEX('Row Level Master Sheet'!$K$2:$K$1001,_xlfn.AGGREGATE(15,6,(ROW('Row Level Master Sheet'!$K$2:$K$1001)-ROW('Row Level Master Sheet'!$K$2)+1)/('Row Level Master Sheet'!$C$2:$C$1001="Traditional"),ROWS($B$2:B562))),"")</f>
        <v/>
      </c>
    </row>
    <row r="563" spans="1:2" x14ac:dyDescent="0.35">
      <c r="A563" cm="1">
        <f t="array" ref="A563">IFERROR(INDEX('Row Level Master Sheet'!$K$2:$K$1001,_xlfn.AGGREGATE(15,6,(ROW('Row Level Master Sheet'!$K$2:$K$1001)-ROW('Row Level Master Sheet'!$K$2)+1)/('Row Level Master Sheet'!$C$2:$C$1001="Digital"),ROWS($A$2:A563))),"")</f>
        <v>1.22</v>
      </c>
      <c r="B563" s="39" t="str" cm="1">
        <f t="array" ref="B563">IFERROR(INDEX('Row Level Master Sheet'!$K$2:$K$1001,_xlfn.AGGREGATE(15,6,(ROW('Row Level Master Sheet'!$K$2:$K$1001)-ROW('Row Level Master Sheet'!$K$2)+1)/('Row Level Master Sheet'!$C$2:$C$1001="Traditional"),ROWS($B$2:B563))),"")</f>
        <v/>
      </c>
    </row>
    <row r="564" spans="1:2" x14ac:dyDescent="0.35">
      <c r="A564" cm="1">
        <f t="array" ref="A564">IFERROR(INDEX('Row Level Master Sheet'!$K$2:$K$1001,_xlfn.AGGREGATE(15,6,(ROW('Row Level Master Sheet'!$K$2:$K$1001)-ROW('Row Level Master Sheet'!$K$2)+1)/('Row Level Master Sheet'!$C$2:$C$1001="Digital"),ROWS($A$2:A564))),"")</f>
        <v>1.22</v>
      </c>
      <c r="B564" s="39" t="str" cm="1">
        <f t="array" ref="B564">IFERROR(INDEX('Row Level Master Sheet'!$K$2:$K$1001,_xlfn.AGGREGATE(15,6,(ROW('Row Level Master Sheet'!$K$2:$K$1001)-ROW('Row Level Master Sheet'!$K$2)+1)/('Row Level Master Sheet'!$C$2:$C$1001="Traditional"),ROWS($B$2:B564))),"")</f>
        <v/>
      </c>
    </row>
    <row r="565" spans="1:2" x14ac:dyDescent="0.35">
      <c r="A565" cm="1">
        <f t="array" ref="A565">IFERROR(INDEX('Row Level Master Sheet'!$K$2:$K$1001,_xlfn.AGGREGATE(15,6,(ROW('Row Level Master Sheet'!$K$2:$K$1001)-ROW('Row Level Master Sheet'!$K$2)+1)/('Row Level Master Sheet'!$C$2:$C$1001="Digital"),ROWS($A$2:A565))),"")</f>
        <v>1.2299999999999998</v>
      </c>
      <c r="B565" s="39" t="str" cm="1">
        <f t="array" ref="B565">IFERROR(INDEX('Row Level Master Sheet'!$K$2:$K$1001,_xlfn.AGGREGATE(15,6,(ROW('Row Level Master Sheet'!$K$2:$K$1001)-ROW('Row Level Master Sheet'!$K$2)+1)/('Row Level Master Sheet'!$C$2:$C$1001="Traditional"),ROWS($B$2:B565))),"")</f>
        <v/>
      </c>
    </row>
    <row r="566" spans="1:2" x14ac:dyDescent="0.35">
      <c r="A566" cm="1">
        <f t="array" ref="A566">IFERROR(INDEX('Row Level Master Sheet'!$K$2:$K$1001,_xlfn.AGGREGATE(15,6,(ROW('Row Level Master Sheet'!$K$2:$K$1001)-ROW('Row Level Master Sheet'!$K$2)+1)/('Row Level Master Sheet'!$C$2:$C$1001="Digital"),ROWS($A$2:A566))),"")</f>
        <v>1.23</v>
      </c>
      <c r="B566" s="39" t="str" cm="1">
        <f t="array" ref="B566">IFERROR(INDEX('Row Level Master Sheet'!$K$2:$K$1001,_xlfn.AGGREGATE(15,6,(ROW('Row Level Master Sheet'!$K$2:$K$1001)-ROW('Row Level Master Sheet'!$K$2)+1)/('Row Level Master Sheet'!$C$2:$C$1001="Traditional"),ROWS($B$2:B566))),"")</f>
        <v/>
      </c>
    </row>
    <row r="567" spans="1:2" x14ac:dyDescent="0.35">
      <c r="A567" cm="1">
        <f t="array" ref="A567">IFERROR(INDEX('Row Level Master Sheet'!$K$2:$K$1001,_xlfn.AGGREGATE(15,6,(ROW('Row Level Master Sheet'!$K$2:$K$1001)-ROW('Row Level Master Sheet'!$K$2)+1)/('Row Level Master Sheet'!$C$2:$C$1001="Digital"),ROWS($A$2:A567))),"")</f>
        <v>1.23</v>
      </c>
      <c r="B567" s="39" t="str" cm="1">
        <f t="array" ref="B567">IFERROR(INDEX('Row Level Master Sheet'!$K$2:$K$1001,_xlfn.AGGREGATE(15,6,(ROW('Row Level Master Sheet'!$K$2:$K$1001)-ROW('Row Level Master Sheet'!$K$2)+1)/('Row Level Master Sheet'!$C$2:$C$1001="Traditional"),ROWS($B$2:B567))),"")</f>
        <v/>
      </c>
    </row>
    <row r="568" spans="1:2" x14ac:dyDescent="0.35">
      <c r="A568" cm="1">
        <f t="array" ref="A568">IFERROR(INDEX('Row Level Master Sheet'!$K$2:$K$1001,_xlfn.AGGREGATE(15,6,(ROW('Row Level Master Sheet'!$K$2:$K$1001)-ROW('Row Level Master Sheet'!$K$2)+1)/('Row Level Master Sheet'!$C$2:$C$1001="Digital"),ROWS($A$2:A568))),"")</f>
        <v>1.2300000000000002</v>
      </c>
      <c r="B568" s="39" t="str" cm="1">
        <f t="array" ref="B568">IFERROR(INDEX('Row Level Master Sheet'!$K$2:$K$1001,_xlfn.AGGREGATE(15,6,(ROW('Row Level Master Sheet'!$K$2:$K$1001)-ROW('Row Level Master Sheet'!$K$2)+1)/('Row Level Master Sheet'!$C$2:$C$1001="Traditional"),ROWS($B$2:B568))),"")</f>
        <v/>
      </c>
    </row>
    <row r="569" spans="1:2" x14ac:dyDescent="0.35">
      <c r="A569" cm="1">
        <f t="array" ref="A569">IFERROR(INDEX('Row Level Master Sheet'!$K$2:$K$1001,_xlfn.AGGREGATE(15,6,(ROW('Row Level Master Sheet'!$K$2:$K$1001)-ROW('Row Level Master Sheet'!$K$2)+1)/('Row Level Master Sheet'!$C$2:$C$1001="Digital"),ROWS($A$2:A569))),"")</f>
        <v>1.24</v>
      </c>
      <c r="B569" s="39" t="str" cm="1">
        <f t="array" ref="B569">IFERROR(INDEX('Row Level Master Sheet'!$K$2:$K$1001,_xlfn.AGGREGATE(15,6,(ROW('Row Level Master Sheet'!$K$2:$K$1001)-ROW('Row Level Master Sheet'!$K$2)+1)/('Row Level Master Sheet'!$C$2:$C$1001="Traditional"),ROWS($B$2:B569))),"")</f>
        <v/>
      </c>
    </row>
    <row r="570" spans="1:2" x14ac:dyDescent="0.35">
      <c r="A570" cm="1">
        <f t="array" ref="A570">IFERROR(INDEX('Row Level Master Sheet'!$K$2:$K$1001,_xlfn.AGGREGATE(15,6,(ROW('Row Level Master Sheet'!$K$2:$K$1001)-ROW('Row Level Master Sheet'!$K$2)+1)/('Row Level Master Sheet'!$C$2:$C$1001="Digital"),ROWS($A$2:A570))),"")</f>
        <v>1.24</v>
      </c>
      <c r="B570" s="39" t="str" cm="1">
        <f t="array" ref="B570">IFERROR(INDEX('Row Level Master Sheet'!$K$2:$K$1001,_xlfn.AGGREGATE(15,6,(ROW('Row Level Master Sheet'!$K$2:$K$1001)-ROW('Row Level Master Sheet'!$K$2)+1)/('Row Level Master Sheet'!$C$2:$C$1001="Traditional"),ROWS($B$2:B570))),"")</f>
        <v/>
      </c>
    </row>
    <row r="571" spans="1:2" x14ac:dyDescent="0.35">
      <c r="A571" cm="1">
        <f t="array" ref="A571">IFERROR(INDEX('Row Level Master Sheet'!$K$2:$K$1001,_xlfn.AGGREGATE(15,6,(ROW('Row Level Master Sheet'!$K$2:$K$1001)-ROW('Row Level Master Sheet'!$K$2)+1)/('Row Level Master Sheet'!$C$2:$C$1001="Digital"),ROWS($A$2:A571))),"")</f>
        <v>1.24</v>
      </c>
      <c r="B571" s="39" t="str" cm="1">
        <f t="array" ref="B571">IFERROR(INDEX('Row Level Master Sheet'!$K$2:$K$1001,_xlfn.AGGREGATE(15,6,(ROW('Row Level Master Sheet'!$K$2:$K$1001)-ROW('Row Level Master Sheet'!$K$2)+1)/('Row Level Master Sheet'!$C$2:$C$1001="Traditional"),ROWS($B$2:B571))),"")</f>
        <v/>
      </c>
    </row>
    <row r="572" spans="1:2" x14ac:dyDescent="0.35">
      <c r="A572" cm="1">
        <f t="array" ref="A572">IFERROR(INDEX('Row Level Master Sheet'!$K$2:$K$1001,_xlfn.AGGREGATE(15,6,(ROW('Row Level Master Sheet'!$K$2:$K$1001)-ROW('Row Level Master Sheet'!$K$2)+1)/('Row Level Master Sheet'!$C$2:$C$1001="Digital"),ROWS($A$2:A572))),"")</f>
        <v>1.24</v>
      </c>
      <c r="B572" s="39" t="str" cm="1">
        <f t="array" ref="B572">IFERROR(INDEX('Row Level Master Sheet'!$K$2:$K$1001,_xlfn.AGGREGATE(15,6,(ROW('Row Level Master Sheet'!$K$2:$K$1001)-ROW('Row Level Master Sheet'!$K$2)+1)/('Row Level Master Sheet'!$C$2:$C$1001="Traditional"),ROWS($B$2:B572))),"")</f>
        <v/>
      </c>
    </row>
    <row r="573" spans="1:2" x14ac:dyDescent="0.35">
      <c r="A573" cm="1">
        <f t="array" ref="A573">IFERROR(INDEX('Row Level Master Sheet'!$K$2:$K$1001,_xlfn.AGGREGATE(15,6,(ROW('Row Level Master Sheet'!$K$2:$K$1001)-ROW('Row Level Master Sheet'!$K$2)+1)/('Row Level Master Sheet'!$C$2:$C$1001="Digital"),ROWS($A$2:A573))),"")</f>
        <v>1.24</v>
      </c>
      <c r="B573" s="39" t="str" cm="1">
        <f t="array" ref="B573">IFERROR(INDEX('Row Level Master Sheet'!$K$2:$K$1001,_xlfn.AGGREGATE(15,6,(ROW('Row Level Master Sheet'!$K$2:$K$1001)-ROW('Row Level Master Sheet'!$K$2)+1)/('Row Level Master Sheet'!$C$2:$C$1001="Traditional"),ROWS($B$2:B573))),"")</f>
        <v/>
      </c>
    </row>
    <row r="574" spans="1:2" x14ac:dyDescent="0.35">
      <c r="A574" cm="1">
        <f t="array" ref="A574">IFERROR(INDEX('Row Level Master Sheet'!$K$2:$K$1001,_xlfn.AGGREGATE(15,6,(ROW('Row Level Master Sheet'!$K$2:$K$1001)-ROW('Row Level Master Sheet'!$K$2)+1)/('Row Level Master Sheet'!$C$2:$C$1001="Digital"),ROWS($A$2:A574))),"")</f>
        <v>1.2499999999999998</v>
      </c>
      <c r="B574" s="39" t="str" cm="1">
        <f t="array" ref="B574">IFERROR(INDEX('Row Level Master Sheet'!$K$2:$K$1001,_xlfn.AGGREGATE(15,6,(ROW('Row Level Master Sheet'!$K$2:$K$1001)-ROW('Row Level Master Sheet'!$K$2)+1)/('Row Level Master Sheet'!$C$2:$C$1001="Traditional"),ROWS($B$2:B574))),"")</f>
        <v/>
      </c>
    </row>
    <row r="575" spans="1:2" x14ac:dyDescent="0.35">
      <c r="A575" cm="1">
        <f t="array" ref="A575">IFERROR(INDEX('Row Level Master Sheet'!$K$2:$K$1001,_xlfn.AGGREGATE(15,6,(ROW('Row Level Master Sheet'!$K$2:$K$1001)-ROW('Row Level Master Sheet'!$K$2)+1)/('Row Level Master Sheet'!$C$2:$C$1001="Digital"),ROWS($A$2:A575))),"")</f>
        <v>1.25</v>
      </c>
      <c r="B575" s="39" t="str" cm="1">
        <f t="array" ref="B575">IFERROR(INDEX('Row Level Master Sheet'!$K$2:$K$1001,_xlfn.AGGREGATE(15,6,(ROW('Row Level Master Sheet'!$K$2:$K$1001)-ROW('Row Level Master Sheet'!$K$2)+1)/('Row Level Master Sheet'!$C$2:$C$1001="Traditional"),ROWS($B$2:B575))),"")</f>
        <v/>
      </c>
    </row>
    <row r="576" spans="1:2" x14ac:dyDescent="0.35">
      <c r="A576" cm="1">
        <f t="array" ref="A576">IFERROR(INDEX('Row Level Master Sheet'!$K$2:$K$1001,_xlfn.AGGREGATE(15,6,(ROW('Row Level Master Sheet'!$K$2:$K$1001)-ROW('Row Level Master Sheet'!$K$2)+1)/('Row Level Master Sheet'!$C$2:$C$1001="Digital"),ROWS($A$2:A576))),"")</f>
        <v>1.25</v>
      </c>
      <c r="B576" s="39" t="str" cm="1">
        <f t="array" ref="B576">IFERROR(INDEX('Row Level Master Sheet'!$K$2:$K$1001,_xlfn.AGGREGATE(15,6,(ROW('Row Level Master Sheet'!$K$2:$K$1001)-ROW('Row Level Master Sheet'!$K$2)+1)/('Row Level Master Sheet'!$C$2:$C$1001="Traditional"),ROWS($B$2:B576))),"")</f>
        <v/>
      </c>
    </row>
    <row r="577" spans="1:2" x14ac:dyDescent="0.35">
      <c r="A577" cm="1">
        <f t="array" ref="A577">IFERROR(INDEX('Row Level Master Sheet'!$K$2:$K$1001,_xlfn.AGGREGATE(15,6,(ROW('Row Level Master Sheet'!$K$2:$K$1001)-ROW('Row Level Master Sheet'!$K$2)+1)/('Row Level Master Sheet'!$C$2:$C$1001="Digital"),ROWS($A$2:A577))),"")</f>
        <v>1.25</v>
      </c>
      <c r="B577" s="39" t="str" cm="1">
        <f t="array" ref="B577">IFERROR(INDEX('Row Level Master Sheet'!$K$2:$K$1001,_xlfn.AGGREGATE(15,6,(ROW('Row Level Master Sheet'!$K$2:$K$1001)-ROW('Row Level Master Sheet'!$K$2)+1)/('Row Level Master Sheet'!$C$2:$C$1001="Traditional"),ROWS($B$2:B577))),"")</f>
        <v/>
      </c>
    </row>
    <row r="578" spans="1:2" x14ac:dyDescent="0.35">
      <c r="A578" cm="1">
        <f t="array" ref="A578">IFERROR(INDEX('Row Level Master Sheet'!$K$2:$K$1001,_xlfn.AGGREGATE(15,6,(ROW('Row Level Master Sheet'!$K$2:$K$1001)-ROW('Row Level Master Sheet'!$K$2)+1)/('Row Level Master Sheet'!$C$2:$C$1001="Digital"),ROWS($A$2:A578))),"")</f>
        <v>1.2599999999999996</v>
      </c>
      <c r="B578" s="39" t="str" cm="1">
        <f t="array" ref="B578">IFERROR(INDEX('Row Level Master Sheet'!$K$2:$K$1001,_xlfn.AGGREGATE(15,6,(ROW('Row Level Master Sheet'!$K$2:$K$1001)-ROW('Row Level Master Sheet'!$K$2)+1)/('Row Level Master Sheet'!$C$2:$C$1001="Traditional"),ROWS($B$2:B578))),"")</f>
        <v/>
      </c>
    </row>
    <row r="579" spans="1:2" x14ac:dyDescent="0.35">
      <c r="A579" cm="1">
        <f t="array" ref="A579">IFERROR(INDEX('Row Level Master Sheet'!$K$2:$K$1001,_xlfn.AGGREGATE(15,6,(ROW('Row Level Master Sheet'!$K$2:$K$1001)-ROW('Row Level Master Sheet'!$K$2)+1)/('Row Level Master Sheet'!$C$2:$C$1001="Digital"),ROWS($A$2:A579))),"")</f>
        <v>1.2600000000000002</v>
      </c>
      <c r="B579" s="39" t="str" cm="1">
        <f t="array" ref="B579">IFERROR(INDEX('Row Level Master Sheet'!$K$2:$K$1001,_xlfn.AGGREGATE(15,6,(ROW('Row Level Master Sheet'!$K$2:$K$1001)-ROW('Row Level Master Sheet'!$K$2)+1)/('Row Level Master Sheet'!$C$2:$C$1001="Traditional"),ROWS($B$2:B579))),"")</f>
        <v/>
      </c>
    </row>
    <row r="580" spans="1:2" x14ac:dyDescent="0.35">
      <c r="A580" cm="1">
        <f t="array" ref="A580">IFERROR(INDEX('Row Level Master Sheet'!$K$2:$K$1001,_xlfn.AGGREGATE(15,6,(ROW('Row Level Master Sheet'!$K$2:$K$1001)-ROW('Row Level Master Sheet'!$K$2)+1)/('Row Level Master Sheet'!$C$2:$C$1001="Digital"),ROWS($A$2:A580))),"")</f>
        <v>1.2600000000000002</v>
      </c>
      <c r="B580" s="39" t="str" cm="1">
        <f t="array" ref="B580">IFERROR(INDEX('Row Level Master Sheet'!$K$2:$K$1001,_xlfn.AGGREGATE(15,6,(ROW('Row Level Master Sheet'!$K$2:$K$1001)-ROW('Row Level Master Sheet'!$K$2)+1)/('Row Level Master Sheet'!$C$2:$C$1001="Traditional"),ROWS($B$2:B580))),"")</f>
        <v/>
      </c>
    </row>
    <row r="581" spans="1:2" x14ac:dyDescent="0.35">
      <c r="A581" cm="1">
        <f t="array" ref="A581">IFERROR(INDEX('Row Level Master Sheet'!$K$2:$K$1001,_xlfn.AGGREGATE(15,6,(ROW('Row Level Master Sheet'!$K$2:$K$1001)-ROW('Row Level Master Sheet'!$K$2)+1)/('Row Level Master Sheet'!$C$2:$C$1001="Digital"),ROWS($A$2:A581))),"")</f>
        <v>1.2699999999999998</v>
      </c>
      <c r="B581" s="39" t="str" cm="1">
        <f t="array" ref="B581">IFERROR(INDEX('Row Level Master Sheet'!$K$2:$K$1001,_xlfn.AGGREGATE(15,6,(ROW('Row Level Master Sheet'!$K$2:$K$1001)-ROW('Row Level Master Sheet'!$K$2)+1)/('Row Level Master Sheet'!$C$2:$C$1001="Traditional"),ROWS($B$2:B581))),"")</f>
        <v/>
      </c>
    </row>
    <row r="582" spans="1:2" x14ac:dyDescent="0.35">
      <c r="A582" cm="1">
        <f t="array" ref="A582">IFERROR(INDEX('Row Level Master Sheet'!$K$2:$K$1001,_xlfn.AGGREGATE(15,6,(ROW('Row Level Master Sheet'!$K$2:$K$1001)-ROW('Row Level Master Sheet'!$K$2)+1)/('Row Level Master Sheet'!$C$2:$C$1001="Digital"),ROWS($A$2:A582))),"")</f>
        <v>1.27</v>
      </c>
      <c r="B582" s="39" t="str" cm="1">
        <f t="array" ref="B582">IFERROR(INDEX('Row Level Master Sheet'!$K$2:$K$1001,_xlfn.AGGREGATE(15,6,(ROW('Row Level Master Sheet'!$K$2:$K$1001)-ROW('Row Level Master Sheet'!$K$2)+1)/('Row Level Master Sheet'!$C$2:$C$1001="Traditional"),ROWS($B$2:B582))),"")</f>
        <v/>
      </c>
    </row>
    <row r="583" spans="1:2" x14ac:dyDescent="0.35">
      <c r="A583" cm="1">
        <f t="array" ref="A583">IFERROR(INDEX('Row Level Master Sheet'!$K$2:$K$1001,_xlfn.AGGREGATE(15,6,(ROW('Row Level Master Sheet'!$K$2:$K$1001)-ROW('Row Level Master Sheet'!$K$2)+1)/('Row Level Master Sheet'!$C$2:$C$1001="Digital"),ROWS($A$2:A583))),"")</f>
        <v>1.27</v>
      </c>
      <c r="B583" s="39" t="str" cm="1">
        <f t="array" ref="B583">IFERROR(INDEX('Row Level Master Sheet'!$K$2:$K$1001,_xlfn.AGGREGATE(15,6,(ROW('Row Level Master Sheet'!$K$2:$K$1001)-ROW('Row Level Master Sheet'!$K$2)+1)/('Row Level Master Sheet'!$C$2:$C$1001="Traditional"),ROWS($B$2:B583))),"")</f>
        <v/>
      </c>
    </row>
    <row r="584" spans="1:2" x14ac:dyDescent="0.35">
      <c r="A584" cm="1">
        <f t="array" ref="A584">IFERROR(INDEX('Row Level Master Sheet'!$K$2:$K$1001,_xlfn.AGGREGATE(15,6,(ROW('Row Level Master Sheet'!$K$2:$K$1001)-ROW('Row Level Master Sheet'!$K$2)+1)/('Row Level Master Sheet'!$C$2:$C$1001="Digital"),ROWS($A$2:A584))),"")</f>
        <v>1.27</v>
      </c>
      <c r="B584" s="39" t="str" cm="1">
        <f t="array" ref="B584">IFERROR(INDEX('Row Level Master Sheet'!$K$2:$K$1001,_xlfn.AGGREGATE(15,6,(ROW('Row Level Master Sheet'!$K$2:$K$1001)-ROW('Row Level Master Sheet'!$K$2)+1)/('Row Level Master Sheet'!$C$2:$C$1001="Traditional"),ROWS($B$2:B584))),"")</f>
        <v/>
      </c>
    </row>
    <row r="585" spans="1:2" x14ac:dyDescent="0.35">
      <c r="A585" cm="1">
        <f t="array" ref="A585">IFERROR(INDEX('Row Level Master Sheet'!$K$2:$K$1001,_xlfn.AGGREGATE(15,6,(ROW('Row Level Master Sheet'!$K$2:$K$1001)-ROW('Row Level Master Sheet'!$K$2)+1)/('Row Level Master Sheet'!$C$2:$C$1001="Digital"),ROWS($A$2:A585))),"")</f>
        <v>1.27</v>
      </c>
      <c r="B585" s="39" t="str" cm="1">
        <f t="array" ref="B585">IFERROR(INDEX('Row Level Master Sheet'!$K$2:$K$1001,_xlfn.AGGREGATE(15,6,(ROW('Row Level Master Sheet'!$K$2:$K$1001)-ROW('Row Level Master Sheet'!$K$2)+1)/('Row Level Master Sheet'!$C$2:$C$1001="Traditional"),ROWS($B$2:B585))),"")</f>
        <v/>
      </c>
    </row>
    <row r="586" spans="1:2" x14ac:dyDescent="0.35">
      <c r="A586" cm="1">
        <f t="array" ref="A586">IFERROR(INDEX('Row Level Master Sheet'!$K$2:$K$1001,_xlfn.AGGREGATE(15,6,(ROW('Row Level Master Sheet'!$K$2:$K$1001)-ROW('Row Level Master Sheet'!$K$2)+1)/('Row Level Master Sheet'!$C$2:$C$1001="Digital"),ROWS($A$2:A586))),"")</f>
        <v>1.2700000000000002</v>
      </c>
      <c r="B586" s="39" t="str" cm="1">
        <f t="array" ref="B586">IFERROR(INDEX('Row Level Master Sheet'!$K$2:$K$1001,_xlfn.AGGREGATE(15,6,(ROW('Row Level Master Sheet'!$K$2:$K$1001)-ROW('Row Level Master Sheet'!$K$2)+1)/('Row Level Master Sheet'!$C$2:$C$1001="Traditional"),ROWS($B$2:B586))),"")</f>
        <v/>
      </c>
    </row>
    <row r="587" spans="1:2" x14ac:dyDescent="0.35">
      <c r="A587" cm="1">
        <f t="array" ref="A587">IFERROR(INDEX('Row Level Master Sheet'!$K$2:$K$1001,_xlfn.AGGREGATE(15,6,(ROW('Row Level Master Sheet'!$K$2:$K$1001)-ROW('Row Level Master Sheet'!$K$2)+1)/('Row Level Master Sheet'!$C$2:$C$1001="Digital"),ROWS($A$2:A587))),"")</f>
        <v>1.2700000000000002</v>
      </c>
      <c r="B587" s="39" t="str" cm="1">
        <f t="array" ref="B587">IFERROR(INDEX('Row Level Master Sheet'!$K$2:$K$1001,_xlfn.AGGREGATE(15,6,(ROW('Row Level Master Sheet'!$K$2:$K$1001)-ROW('Row Level Master Sheet'!$K$2)+1)/('Row Level Master Sheet'!$C$2:$C$1001="Traditional"),ROWS($B$2:B587))),"")</f>
        <v/>
      </c>
    </row>
    <row r="588" spans="1:2" x14ac:dyDescent="0.35">
      <c r="A588" cm="1">
        <f t="array" ref="A588">IFERROR(INDEX('Row Level Master Sheet'!$K$2:$K$1001,_xlfn.AGGREGATE(15,6,(ROW('Row Level Master Sheet'!$K$2:$K$1001)-ROW('Row Level Master Sheet'!$K$2)+1)/('Row Level Master Sheet'!$C$2:$C$1001="Digital"),ROWS($A$2:A588))),"")</f>
        <v>1.28</v>
      </c>
      <c r="B588" s="39" t="str" cm="1">
        <f t="array" ref="B588">IFERROR(INDEX('Row Level Master Sheet'!$K$2:$K$1001,_xlfn.AGGREGATE(15,6,(ROW('Row Level Master Sheet'!$K$2:$K$1001)-ROW('Row Level Master Sheet'!$K$2)+1)/('Row Level Master Sheet'!$C$2:$C$1001="Traditional"),ROWS($B$2:B588))),"")</f>
        <v/>
      </c>
    </row>
    <row r="589" spans="1:2" x14ac:dyDescent="0.35">
      <c r="A589" cm="1">
        <f t="array" ref="A589">IFERROR(INDEX('Row Level Master Sheet'!$K$2:$K$1001,_xlfn.AGGREGATE(15,6,(ROW('Row Level Master Sheet'!$K$2:$K$1001)-ROW('Row Level Master Sheet'!$K$2)+1)/('Row Level Master Sheet'!$C$2:$C$1001="Digital"),ROWS($A$2:A589))),"")</f>
        <v>1.28</v>
      </c>
      <c r="B589" s="39" t="str" cm="1">
        <f t="array" ref="B589">IFERROR(INDEX('Row Level Master Sheet'!$K$2:$K$1001,_xlfn.AGGREGATE(15,6,(ROW('Row Level Master Sheet'!$K$2:$K$1001)-ROW('Row Level Master Sheet'!$K$2)+1)/('Row Level Master Sheet'!$C$2:$C$1001="Traditional"),ROWS($B$2:B589))),"")</f>
        <v/>
      </c>
    </row>
    <row r="590" spans="1:2" x14ac:dyDescent="0.35">
      <c r="A590" cm="1">
        <f t="array" ref="A590">IFERROR(INDEX('Row Level Master Sheet'!$K$2:$K$1001,_xlfn.AGGREGATE(15,6,(ROW('Row Level Master Sheet'!$K$2:$K$1001)-ROW('Row Level Master Sheet'!$K$2)+1)/('Row Level Master Sheet'!$C$2:$C$1001="Digital"),ROWS($A$2:A590))),"")</f>
        <v>1.2800000000000002</v>
      </c>
      <c r="B590" s="39" t="str" cm="1">
        <f t="array" ref="B590">IFERROR(INDEX('Row Level Master Sheet'!$K$2:$K$1001,_xlfn.AGGREGATE(15,6,(ROW('Row Level Master Sheet'!$K$2:$K$1001)-ROW('Row Level Master Sheet'!$K$2)+1)/('Row Level Master Sheet'!$C$2:$C$1001="Traditional"),ROWS($B$2:B590))),"")</f>
        <v/>
      </c>
    </row>
    <row r="591" spans="1:2" x14ac:dyDescent="0.35">
      <c r="A591" cm="1">
        <f t="array" ref="A591">IFERROR(INDEX('Row Level Master Sheet'!$K$2:$K$1001,_xlfn.AGGREGATE(15,6,(ROW('Row Level Master Sheet'!$K$2:$K$1001)-ROW('Row Level Master Sheet'!$K$2)+1)/('Row Level Master Sheet'!$C$2:$C$1001="Digital"),ROWS($A$2:A591))),"")</f>
        <v>1.2800000000000002</v>
      </c>
      <c r="B591" s="39" t="str" cm="1">
        <f t="array" ref="B591">IFERROR(INDEX('Row Level Master Sheet'!$K$2:$K$1001,_xlfn.AGGREGATE(15,6,(ROW('Row Level Master Sheet'!$K$2:$K$1001)-ROW('Row Level Master Sheet'!$K$2)+1)/('Row Level Master Sheet'!$C$2:$C$1001="Traditional"),ROWS($B$2:B591))),"")</f>
        <v/>
      </c>
    </row>
    <row r="592" spans="1:2" x14ac:dyDescent="0.35">
      <c r="A592" cm="1">
        <f t="array" ref="A592">IFERROR(INDEX('Row Level Master Sheet'!$K$2:$K$1001,_xlfn.AGGREGATE(15,6,(ROW('Row Level Master Sheet'!$K$2:$K$1001)-ROW('Row Level Master Sheet'!$K$2)+1)/('Row Level Master Sheet'!$C$2:$C$1001="Digital"),ROWS($A$2:A592))),"")</f>
        <v>1.2800000000000002</v>
      </c>
      <c r="B592" s="39" t="str" cm="1">
        <f t="array" ref="B592">IFERROR(INDEX('Row Level Master Sheet'!$K$2:$K$1001,_xlfn.AGGREGATE(15,6,(ROW('Row Level Master Sheet'!$K$2:$K$1001)-ROW('Row Level Master Sheet'!$K$2)+1)/('Row Level Master Sheet'!$C$2:$C$1001="Traditional"),ROWS($B$2:B592))),"")</f>
        <v/>
      </c>
    </row>
    <row r="593" spans="1:2" x14ac:dyDescent="0.35">
      <c r="A593" cm="1">
        <f t="array" ref="A593">IFERROR(INDEX('Row Level Master Sheet'!$K$2:$K$1001,_xlfn.AGGREGATE(15,6,(ROW('Row Level Master Sheet'!$K$2:$K$1001)-ROW('Row Level Master Sheet'!$K$2)+1)/('Row Level Master Sheet'!$C$2:$C$1001="Digital"),ROWS($A$2:A593))),"")</f>
        <v>1.2800000000000002</v>
      </c>
      <c r="B593" s="39" t="str" cm="1">
        <f t="array" ref="B593">IFERROR(INDEX('Row Level Master Sheet'!$K$2:$K$1001,_xlfn.AGGREGATE(15,6,(ROW('Row Level Master Sheet'!$K$2:$K$1001)-ROW('Row Level Master Sheet'!$K$2)+1)/('Row Level Master Sheet'!$C$2:$C$1001="Traditional"),ROWS($B$2:B593))),"")</f>
        <v/>
      </c>
    </row>
    <row r="594" spans="1:2" x14ac:dyDescent="0.35">
      <c r="A594" cm="1">
        <f t="array" ref="A594">IFERROR(INDEX('Row Level Master Sheet'!$K$2:$K$1001,_xlfn.AGGREGATE(15,6,(ROW('Row Level Master Sheet'!$K$2:$K$1001)-ROW('Row Level Master Sheet'!$K$2)+1)/('Row Level Master Sheet'!$C$2:$C$1001="Digital"),ROWS($A$2:A594))),"")</f>
        <v>1.29</v>
      </c>
      <c r="B594" s="39" t="str" cm="1">
        <f t="array" ref="B594">IFERROR(INDEX('Row Level Master Sheet'!$K$2:$K$1001,_xlfn.AGGREGATE(15,6,(ROW('Row Level Master Sheet'!$K$2:$K$1001)-ROW('Row Level Master Sheet'!$K$2)+1)/('Row Level Master Sheet'!$C$2:$C$1001="Traditional"),ROWS($B$2:B594))),"")</f>
        <v/>
      </c>
    </row>
    <row r="595" spans="1:2" x14ac:dyDescent="0.35">
      <c r="A595" cm="1">
        <f t="array" ref="A595">IFERROR(INDEX('Row Level Master Sheet'!$K$2:$K$1001,_xlfn.AGGREGATE(15,6,(ROW('Row Level Master Sheet'!$K$2:$K$1001)-ROW('Row Level Master Sheet'!$K$2)+1)/('Row Level Master Sheet'!$C$2:$C$1001="Digital"),ROWS($A$2:A595))),"")</f>
        <v>1.29</v>
      </c>
      <c r="B595" s="39" t="str" cm="1">
        <f t="array" ref="B595">IFERROR(INDEX('Row Level Master Sheet'!$K$2:$K$1001,_xlfn.AGGREGATE(15,6,(ROW('Row Level Master Sheet'!$K$2:$K$1001)-ROW('Row Level Master Sheet'!$K$2)+1)/('Row Level Master Sheet'!$C$2:$C$1001="Traditional"),ROWS($B$2:B595))),"")</f>
        <v/>
      </c>
    </row>
    <row r="596" spans="1:2" x14ac:dyDescent="0.35">
      <c r="A596" cm="1">
        <f t="array" ref="A596">IFERROR(INDEX('Row Level Master Sheet'!$K$2:$K$1001,_xlfn.AGGREGATE(15,6,(ROW('Row Level Master Sheet'!$K$2:$K$1001)-ROW('Row Level Master Sheet'!$K$2)+1)/('Row Level Master Sheet'!$C$2:$C$1001="Digital"),ROWS($A$2:A596))),"")</f>
        <v>1.2900000000000003</v>
      </c>
      <c r="B596" s="39" t="str" cm="1">
        <f t="array" ref="B596">IFERROR(INDEX('Row Level Master Sheet'!$K$2:$K$1001,_xlfn.AGGREGATE(15,6,(ROW('Row Level Master Sheet'!$K$2:$K$1001)-ROW('Row Level Master Sheet'!$K$2)+1)/('Row Level Master Sheet'!$C$2:$C$1001="Traditional"),ROWS($B$2:B596))),"")</f>
        <v/>
      </c>
    </row>
    <row r="597" spans="1:2" x14ac:dyDescent="0.35">
      <c r="A597" cm="1">
        <f t="array" ref="A597">IFERROR(INDEX('Row Level Master Sheet'!$K$2:$K$1001,_xlfn.AGGREGATE(15,6,(ROW('Row Level Master Sheet'!$K$2:$K$1001)-ROW('Row Level Master Sheet'!$K$2)+1)/('Row Level Master Sheet'!$C$2:$C$1001="Digital"),ROWS($A$2:A597))),"")</f>
        <v>1.2900000000000003</v>
      </c>
      <c r="B597" s="39" t="str" cm="1">
        <f t="array" ref="B597">IFERROR(INDEX('Row Level Master Sheet'!$K$2:$K$1001,_xlfn.AGGREGATE(15,6,(ROW('Row Level Master Sheet'!$K$2:$K$1001)-ROW('Row Level Master Sheet'!$K$2)+1)/('Row Level Master Sheet'!$C$2:$C$1001="Traditional"),ROWS($B$2:B597))),"")</f>
        <v/>
      </c>
    </row>
    <row r="598" spans="1:2" x14ac:dyDescent="0.35">
      <c r="A598" cm="1">
        <f t="array" ref="A598">IFERROR(INDEX('Row Level Master Sheet'!$K$2:$K$1001,_xlfn.AGGREGATE(15,6,(ROW('Row Level Master Sheet'!$K$2:$K$1001)-ROW('Row Level Master Sheet'!$K$2)+1)/('Row Level Master Sheet'!$C$2:$C$1001="Digital"),ROWS($A$2:A598))),"")</f>
        <v>1.2900000000000003</v>
      </c>
      <c r="B598" s="39" t="str" cm="1">
        <f t="array" ref="B598">IFERROR(INDEX('Row Level Master Sheet'!$K$2:$K$1001,_xlfn.AGGREGATE(15,6,(ROW('Row Level Master Sheet'!$K$2:$K$1001)-ROW('Row Level Master Sheet'!$K$2)+1)/('Row Level Master Sheet'!$C$2:$C$1001="Traditional"),ROWS($B$2:B598))),"")</f>
        <v/>
      </c>
    </row>
    <row r="599" spans="1:2" x14ac:dyDescent="0.35">
      <c r="A599" cm="1">
        <f t="array" ref="A599">IFERROR(INDEX('Row Level Master Sheet'!$K$2:$K$1001,_xlfn.AGGREGATE(15,6,(ROW('Row Level Master Sheet'!$K$2:$K$1001)-ROW('Row Level Master Sheet'!$K$2)+1)/('Row Level Master Sheet'!$C$2:$C$1001="Digital"),ROWS($A$2:A599))),"")</f>
        <v>1.3</v>
      </c>
      <c r="B599" s="39" t="str" cm="1">
        <f t="array" ref="B599">IFERROR(INDEX('Row Level Master Sheet'!$K$2:$K$1001,_xlfn.AGGREGATE(15,6,(ROW('Row Level Master Sheet'!$K$2:$K$1001)-ROW('Row Level Master Sheet'!$K$2)+1)/('Row Level Master Sheet'!$C$2:$C$1001="Traditional"),ROWS($B$2:B599))),"")</f>
        <v/>
      </c>
    </row>
    <row r="600" spans="1:2" x14ac:dyDescent="0.35">
      <c r="A600" cm="1">
        <f t="array" ref="A600">IFERROR(INDEX('Row Level Master Sheet'!$K$2:$K$1001,_xlfn.AGGREGATE(15,6,(ROW('Row Level Master Sheet'!$K$2:$K$1001)-ROW('Row Level Master Sheet'!$K$2)+1)/('Row Level Master Sheet'!$C$2:$C$1001="Digital"),ROWS($A$2:A600))),"")</f>
        <v>1.3</v>
      </c>
      <c r="B600" s="39" t="str" cm="1">
        <f t="array" ref="B600">IFERROR(INDEX('Row Level Master Sheet'!$K$2:$K$1001,_xlfn.AGGREGATE(15,6,(ROW('Row Level Master Sheet'!$K$2:$K$1001)-ROW('Row Level Master Sheet'!$K$2)+1)/('Row Level Master Sheet'!$C$2:$C$1001="Traditional"),ROWS($B$2:B600))),"")</f>
        <v/>
      </c>
    </row>
    <row r="601" spans="1:2" x14ac:dyDescent="0.35">
      <c r="A601" cm="1">
        <f t="array" ref="A601">IFERROR(INDEX('Row Level Master Sheet'!$K$2:$K$1001,_xlfn.AGGREGATE(15,6,(ROW('Row Level Master Sheet'!$K$2:$K$1001)-ROW('Row Level Master Sheet'!$K$2)+1)/('Row Level Master Sheet'!$C$2:$C$1001="Digital"),ROWS($A$2:A601))),"")</f>
        <v>1.3099999999999998</v>
      </c>
      <c r="B601" s="39" t="str" cm="1">
        <f t="array" ref="B601">IFERROR(INDEX('Row Level Master Sheet'!$K$2:$K$1001,_xlfn.AGGREGATE(15,6,(ROW('Row Level Master Sheet'!$K$2:$K$1001)-ROW('Row Level Master Sheet'!$K$2)+1)/('Row Level Master Sheet'!$C$2:$C$1001="Traditional"),ROWS($B$2:B601))),"")</f>
        <v/>
      </c>
    </row>
    <row r="602" spans="1:2" x14ac:dyDescent="0.35">
      <c r="A602" cm="1">
        <f t="array" ref="A602">IFERROR(INDEX('Row Level Master Sheet'!$K$2:$K$1001,_xlfn.AGGREGATE(15,6,(ROW('Row Level Master Sheet'!$K$2:$K$1001)-ROW('Row Level Master Sheet'!$K$2)+1)/('Row Level Master Sheet'!$C$2:$C$1001="Digital"),ROWS($A$2:A602))),"")</f>
        <v>1.3099999999999998</v>
      </c>
      <c r="B602" s="39" t="str" cm="1">
        <f t="array" ref="B602">IFERROR(INDEX('Row Level Master Sheet'!$K$2:$K$1001,_xlfn.AGGREGATE(15,6,(ROW('Row Level Master Sheet'!$K$2:$K$1001)-ROW('Row Level Master Sheet'!$K$2)+1)/('Row Level Master Sheet'!$C$2:$C$1001="Traditional"),ROWS($B$2:B602))),"")</f>
        <v/>
      </c>
    </row>
    <row r="603" spans="1:2" x14ac:dyDescent="0.35">
      <c r="A603" cm="1">
        <f t="array" ref="A603">IFERROR(INDEX('Row Level Master Sheet'!$K$2:$K$1001,_xlfn.AGGREGATE(15,6,(ROW('Row Level Master Sheet'!$K$2:$K$1001)-ROW('Row Level Master Sheet'!$K$2)+1)/('Row Level Master Sheet'!$C$2:$C$1001="Digital"),ROWS($A$2:A603))),"")</f>
        <v>1.3199999999999998</v>
      </c>
      <c r="B603" s="39" t="str" cm="1">
        <f t="array" ref="B603">IFERROR(INDEX('Row Level Master Sheet'!$K$2:$K$1001,_xlfn.AGGREGATE(15,6,(ROW('Row Level Master Sheet'!$K$2:$K$1001)-ROW('Row Level Master Sheet'!$K$2)+1)/('Row Level Master Sheet'!$C$2:$C$1001="Traditional"),ROWS($B$2:B603))),"")</f>
        <v/>
      </c>
    </row>
    <row r="604" spans="1:2" x14ac:dyDescent="0.35">
      <c r="A604" cm="1">
        <f t="array" ref="A604">IFERROR(INDEX('Row Level Master Sheet'!$K$2:$K$1001,_xlfn.AGGREGATE(15,6,(ROW('Row Level Master Sheet'!$K$2:$K$1001)-ROW('Row Level Master Sheet'!$K$2)+1)/('Row Level Master Sheet'!$C$2:$C$1001="Digital"),ROWS($A$2:A604))),"")</f>
        <v>1.3200000000000003</v>
      </c>
      <c r="B604" s="39" t="str" cm="1">
        <f t="array" ref="B604">IFERROR(INDEX('Row Level Master Sheet'!$K$2:$K$1001,_xlfn.AGGREGATE(15,6,(ROW('Row Level Master Sheet'!$K$2:$K$1001)-ROW('Row Level Master Sheet'!$K$2)+1)/('Row Level Master Sheet'!$C$2:$C$1001="Traditional"),ROWS($B$2:B604))),"")</f>
        <v/>
      </c>
    </row>
    <row r="605" spans="1:2" x14ac:dyDescent="0.35">
      <c r="A605" cm="1">
        <f t="array" ref="A605">IFERROR(INDEX('Row Level Master Sheet'!$K$2:$K$1001,_xlfn.AGGREGATE(15,6,(ROW('Row Level Master Sheet'!$K$2:$K$1001)-ROW('Row Level Master Sheet'!$K$2)+1)/('Row Level Master Sheet'!$C$2:$C$1001="Digital"),ROWS($A$2:A605))),"")</f>
        <v>1.3200000000000003</v>
      </c>
      <c r="B605" s="39" t="str" cm="1">
        <f t="array" ref="B605">IFERROR(INDEX('Row Level Master Sheet'!$K$2:$K$1001,_xlfn.AGGREGATE(15,6,(ROW('Row Level Master Sheet'!$K$2:$K$1001)-ROW('Row Level Master Sheet'!$K$2)+1)/('Row Level Master Sheet'!$C$2:$C$1001="Traditional"),ROWS($B$2:B605))),"")</f>
        <v/>
      </c>
    </row>
    <row r="606" spans="1:2" x14ac:dyDescent="0.35">
      <c r="A606" cm="1">
        <f t="array" ref="A606">IFERROR(INDEX('Row Level Master Sheet'!$K$2:$K$1001,_xlfn.AGGREGATE(15,6,(ROW('Row Level Master Sheet'!$K$2:$K$1001)-ROW('Row Level Master Sheet'!$K$2)+1)/('Row Level Master Sheet'!$C$2:$C$1001="Digital"),ROWS($A$2:A606))),"")</f>
        <v>1.3200000000000003</v>
      </c>
      <c r="B606" s="39" t="str" cm="1">
        <f t="array" ref="B606">IFERROR(INDEX('Row Level Master Sheet'!$K$2:$K$1001,_xlfn.AGGREGATE(15,6,(ROW('Row Level Master Sheet'!$K$2:$K$1001)-ROW('Row Level Master Sheet'!$K$2)+1)/('Row Level Master Sheet'!$C$2:$C$1001="Traditional"),ROWS($B$2:B606))),"")</f>
        <v/>
      </c>
    </row>
    <row r="607" spans="1:2" x14ac:dyDescent="0.35">
      <c r="A607" cm="1">
        <f t="array" ref="A607">IFERROR(INDEX('Row Level Master Sheet'!$K$2:$K$1001,_xlfn.AGGREGATE(15,6,(ROW('Row Level Master Sheet'!$K$2:$K$1001)-ROW('Row Level Master Sheet'!$K$2)+1)/('Row Level Master Sheet'!$C$2:$C$1001="Digital"),ROWS($A$2:A607))),"")</f>
        <v>1.3299999999999998</v>
      </c>
      <c r="B607" s="39" t="str" cm="1">
        <f t="array" ref="B607">IFERROR(INDEX('Row Level Master Sheet'!$K$2:$K$1001,_xlfn.AGGREGATE(15,6,(ROW('Row Level Master Sheet'!$K$2:$K$1001)-ROW('Row Level Master Sheet'!$K$2)+1)/('Row Level Master Sheet'!$C$2:$C$1001="Traditional"),ROWS($B$2:B607))),"")</f>
        <v/>
      </c>
    </row>
    <row r="608" spans="1:2" x14ac:dyDescent="0.35">
      <c r="A608" cm="1">
        <f t="array" ref="A608">IFERROR(INDEX('Row Level Master Sheet'!$K$2:$K$1001,_xlfn.AGGREGATE(15,6,(ROW('Row Level Master Sheet'!$K$2:$K$1001)-ROW('Row Level Master Sheet'!$K$2)+1)/('Row Level Master Sheet'!$C$2:$C$1001="Digital"),ROWS($A$2:A608))),"")</f>
        <v>1.3299999999999998</v>
      </c>
      <c r="B608" s="39" t="str" cm="1">
        <f t="array" ref="B608">IFERROR(INDEX('Row Level Master Sheet'!$K$2:$K$1001,_xlfn.AGGREGATE(15,6,(ROW('Row Level Master Sheet'!$K$2:$K$1001)-ROW('Row Level Master Sheet'!$K$2)+1)/('Row Level Master Sheet'!$C$2:$C$1001="Traditional"),ROWS($B$2:B608))),"")</f>
        <v/>
      </c>
    </row>
    <row r="609" spans="1:2" x14ac:dyDescent="0.35">
      <c r="A609" cm="1">
        <f t="array" ref="A609">IFERROR(INDEX('Row Level Master Sheet'!$K$2:$K$1001,_xlfn.AGGREGATE(15,6,(ROW('Row Level Master Sheet'!$K$2:$K$1001)-ROW('Row Level Master Sheet'!$K$2)+1)/('Row Level Master Sheet'!$C$2:$C$1001="Digital"),ROWS($A$2:A609))),"")</f>
        <v>1.35</v>
      </c>
      <c r="B609" s="39" t="str" cm="1">
        <f t="array" ref="B609">IFERROR(INDEX('Row Level Master Sheet'!$K$2:$K$1001,_xlfn.AGGREGATE(15,6,(ROW('Row Level Master Sheet'!$K$2:$K$1001)-ROW('Row Level Master Sheet'!$K$2)+1)/('Row Level Master Sheet'!$C$2:$C$1001="Traditional"),ROWS($B$2:B609))),"")</f>
        <v/>
      </c>
    </row>
    <row r="610" spans="1:2" x14ac:dyDescent="0.35">
      <c r="A610" cm="1">
        <f t="array" ref="A610">IFERROR(INDEX('Row Level Master Sheet'!$K$2:$K$1001,_xlfn.AGGREGATE(15,6,(ROW('Row Level Master Sheet'!$K$2:$K$1001)-ROW('Row Level Master Sheet'!$K$2)+1)/('Row Level Master Sheet'!$C$2:$C$1001="Digital"),ROWS($A$2:A610))),"")</f>
        <v>1.35</v>
      </c>
      <c r="B610" s="39" t="str" cm="1">
        <f t="array" ref="B610">IFERROR(INDEX('Row Level Master Sheet'!$K$2:$K$1001,_xlfn.AGGREGATE(15,6,(ROW('Row Level Master Sheet'!$K$2:$K$1001)-ROW('Row Level Master Sheet'!$K$2)+1)/('Row Level Master Sheet'!$C$2:$C$1001="Traditional"),ROWS($B$2:B610))),"")</f>
        <v/>
      </c>
    </row>
    <row r="611" spans="1:2" x14ac:dyDescent="0.35">
      <c r="A611" cm="1">
        <f t="array" ref="A611">IFERROR(INDEX('Row Level Master Sheet'!$K$2:$K$1001,_xlfn.AGGREGATE(15,6,(ROW('Row Level Master Sheet'!$K$2:$K$1001)-ROW('Row Level Master Sheet'!$K$2)+1)/('Row Level Master Sheet'!$C$2:$C$1001="Digital"),ROWS($A$2:A611))),"")</f>
        <v>1.3500000000000003</v>
      </c>
      <c r="B611" s="39" t="str" cm="1">
        <f t="array" ref="B611">IFERROR(INDEX('Row Level Master Sheet'!$K$2:$K$1001,_xlfn.AGGREGATE(15,6,(ROW('Row Level Master Sheet'!$K$2:$K$1001)-ROW('Row Level Master Sheet'!$K$2)+1)/('Row Level Master Sheet'!$C$2:$C$1001="Traditional"),ROWS($B$2:B611))),"")</f>
        <v/>
      </c>
    </row>
    <row r="612" spans="1:2" x14ac:dyDescent="0.35">
      <c r="A612" cm="1">
        <f t="array" ref="A612">IFERROR(INDEX('Row Level Master Sheet'!$K$2:$K$1001,_xlfn.AGGREGATE(15,6,(ROW('Row Level Master Sheet'!$K$2:$K$1001)-ROW('Row Level Master Sheet'!$K$2)+1)/('Row Level Master Sheet'!$C$2:$C$1001="Digital"),ROWS($A$2:A612))),"")</f>
        <v>1.3500000000000003</v>
      </c>
      <c r="B612" s="39" t="str" cm="1">
        <f t="array" ref="B612">IFERROR(INDEX('Row Level Master Sheet'!$K$2:$K$1001,_xlfn.AGGREGATE(15,6,(ROW('Row Level Master Sheet'!$K$2:$K$1001)-ROW('Row Level Master Sheet'!$K$2)+1)/('Row Level Master Sheet'!$C$2:$C$1001="Traditional"),ROWS($B$2:B612))),"")</f>
        <v/>
      </c>
    </row>
    <row r="613" spans="1:2" x14ac:dyDescent="0.35">
      <c r="A613" cm="1">
        <f t="array" ref="A613">IFERROR(INDEX('Row Level Master Sheet'!$K$2:$K$1001,_xlfn.AGGREGATE(15,6,(ROW('Row Level Master Sheet'!$K$2:$K$1001)-ROW('Row Level Master Sheet'!$K$2)+1)/('Row Level Master Sheet'!$C$2:$C$1001="Digital"),ROWS($A$2:A613))),"")</f>
        <v>1.3599999999999999</v>
      </c>
      <c r="B613" s="39" t="str" cm="1">
        <f t="array" ref="B613">IFERROR(INDEX('Row Level Master Sheet'!$K$2:$K$1001,_xlfn.AGGREGATE(15,6,(ROW('Row Level Master Sheet'!$K$2:$K$1001)-ROW('Row Level Master Sheet'!$K$2)+1)/('Row Level Master Sheet'!$C$2:$C$1001="Traditional"),ROWS($B$2:B613))),"")</f>
        <v/>
      </c>
    </row>
    <row r="614" spans="1:2" x14ac:dyDescent="0.35">
      <c r="A614" cm="1">
        <f t="array" ref="A614">IFERROR(INDEX('Row Level Master Sheet'!$K$2:$K$1001,_xlfn.AGGREGATE(15,6,(ROW('Row Level Master Sheet'!$K$2:$K$1001)-ROW('Row Level Master Sheet'!$K$2)+1)/('Row Level Master Sheet'!$C$2:$C$1001="Digital"),ROWS($A$2:A614))),"")</f>
        <v>1.3600000000000003</v>
      </c>
      <c r="B614" s="39" t="str" cm="1">
        <f t="array" ref="B614">IFERROR(INDEX('Row Level Master Sheet'!$K$2:$K$1001,_xlfn.AGGREGATE(15,6,(ROW('Row Level Master Sheet'!$K$2:$K$1001)-ROW('Row Level Master Sheet'!$K$2)+1)/('Row Level Master Sheet'!$C$2:$C$1001="Traditional"),ROWS($B$2:B614))),"")</f>
        <v/>
      </c>
    </row>
    <row r="615" spans="1:2" x14ac:dyDescent="0.35">
      <c r="A615" cm="1">
        <f t="array" ref="A615">IFERROR(INDEX('Row Level Master Sheet'!$K$2:$K$1001,_xlfn.AGGREGATE(15,6,(ROW('Row Level Master Sheet'!$K$2:$K$1001)-ROW('Row Level Master Sheet'!$K$2)+1)/('Row Level Master Sheet'!$C$2:$C$1001="Digital"),ROWS($A$2:A615))),"")</f>
        <v>1.3699999999999999</v>
      </c>
      <c r="B615" s="39" t="str" cm="1">
        <f t="array" ref="B615">IFERROR(INDEX('Row Level Master Sheet'!$K$2:$K$1001,_xlfn.AGGREGATE(15,6,(ROW('Row Level Master Sheet'!$K$2:$K$1001)-ROW('Row Level Master Sheet'!$K$2)+1)/('Row Level Master Sheet'!$C$2:$C$1001="Traditional"),ROWS($B$2:B615))),"")</f>
        <v/>
      </c>
    </row>
    <row r="616" spans="1:2" x14ac:dyDescent="0.35">
      <c r="A616" cm="1">
        <f t="array" ref="A616">IFERROR(INDEX('Row Level Master Sheet'!$K$2:$K$1001,_xlfn.AGGREGATE(15,6,(ROW('Row Level Master Sheet'!$K$2:$K$1001)-ROW('Row Level Master Sheet'!$K$2)+1)/('Row Level Master Sheet'!$C$2:$C$1001="Digital"),ROWS($A$2:A616))),"")</f>
        <v>1.37</v>
      </c>
      <c r="B616" s="39" t="str" cm="1">
        <f t="array" ref="B616">IFERROR(INDEX('Row Level Master Sheet'!$K$2:$K$1001,_xlfn.AGGREGATE(15,6,(ROW('Row Level Master Sheet'!$K$2:$K$1001)-ROW('Row Level Master Sheet'!$K$2)+1)/('Row Level Master Sheet'!$C$2:$C$1001="Traditional"),ROWS($B$2:B616))),"")</f>
        <v/>
      </c>
    </row>
    <row r="617" spans="1:2" x14ac:dyDescent="0.35">
      <c r="A617" cm="1">
        <f t="array" ref="A617">IFERROR(INDEX('Row Level Master Sheet'!$K$2:$K$1001,_xlfn.AGGREGATE(15,6,(ROW('Row Level Master Sheet'!$K$2:$K$1001)-ROW('Row Level Master Sheet'!$K$2)+1)/('Row Level Master Sheet'!$C$2:$C$1001="Digital"),ROWS($A$2:A617))),"")</f>
        <v>1.37</v>
      </c>
      <c r="B617" s="39" t="str" cm="1">
        <f t="array" ref="B617">IFERROR(INDEX('Row Level Master Sheet'!$K$2:$K$1001,_xlfn.AGGREGATE(15,6,(ROW('Row Level Master Sheet'!$K$2:$K$1001)-ROW('Row Level Master Sheet'!$K$2)+1)/('Row Level Master Sheet'!$C$2:$C$1001="Traditional"),ROWS($B$2:B617))),"")</f>
        <v/>
      </c>
    </row>
    <row r="618" spans="1:2" x14ac:dyDescent="0.35">
      <c r="A618" cm="1">
        <f t="array" ref="A618">IFERROR(INDEX('Row Level Master Sheet'!$K$2:$K$1001,_xlfn.AGGREGATE(15,6,(ROW('Row Level Master Sheet'!$K$2:$K$1001)-ROW('Row Level Master Sheet'!$K$2)+1)/('Row Level Master Sheet'!$C$2:$C$1001="Digital"),ROWS($A$2:A618))),"")</f>
        <v>1.38</v>
      </c>
      <c r="B618" s="39" t="str" cm="1">
        <f t="array" ref="B618">IFERROR(INDEX('Row Level Master Sheet'!$K$2:$K$1001,_xlfn.AGGREGATE(15,6,(ROW('Row Level Master Sheet'!$K$2:$K$1001)-ROW('Row Level Master Sheet'!$K$2)+1)/('Row Level Master Sheet'!$C$2:$C$1001="Traditional"),ROWS($B$2:B618))),"")</f>
        <v/>
      </c>
    </row>
    <row r="619" spans="1:2" x14ac:dyDescent="0.35">
      <c r="A619" cm="1">
        <f t="array" ref="A619">IFERROR(INDEX('Row Level Master Sheet'!$K$2:$K$1001,_xlfn.AGGREGATE(15,6,(ROW('Row Level Master Sheet'!$K$2:$K$1001)-ROW('Row Level Master Sheet'!$K$2)+1)/('Row Level Master Sheet'!$C$2:$C$1001="Digital"),ROWS($A$2:A619))),"")</f>
        <v>1.3800000000000001</v>
      </c>
      <c r="B619" s="39" t="str" cm="1">
        <f t="array" ref="B619">IFERROR(INDEX('Row Level Master Sheet'!$K$2:$K$1001,_xlfn.AGGREGATE(15,6,(ROW('Row Level Master Sheet'!$K$2:$K$1001)-ROW('Row Level Master Sheet'!$K$2)+1)/('Row Level Master Sheet'!$C$2:$C$1001="Traditional"),ROWS($B$2:B619))),"")</f>
        <v/>
      </c>
    </row>
    <row r="620" spans="1:2" x14ac:dyDescent="0.35">
      <c r="A620" cm="1">
        <f t="array" ref="A620">IFERROR(INDEX('Row Level Master Sheet'!$K$2:$K$1001,_xlfn.AGGREGATE(15,6,(ROW('Row Level Master Sheet'!$K$2:$K$1001)-ROW('Row Level Master Sheet'!$K$2)+1)/('Row Level Master Sheet'!$C$2:$C$1001="Digital"),ROWS($A$2:A620))),"")</f>
        <v>1.39</v>
      </c>
      <c r="B620" s="39" t="str" cm="1">
        <f t="array" ref="B620">IFERROR(INDEX('Row Level Master Sheet'!$K$2:$K$1001,_xlfn.AGGREGATE(15,6,(ROW('Row Level Master Sheet'!$K$2:$K$1001)-ROW('Row Level Master Sheet'!$K$2)+1)/('Row Level Master Sheet'!$C$2:$C$1001="Traditional"),ROWS($B$2:B620))),"")</f>
        <v/>
      </c>
    </row>
    <row r="621" spans="1:2" x14ac:dyDescent="0.35">
      <c r="A621" cm="1">
        <f t="array" ref="A621">IFERROR(INDEX('Row Level Master Sheet'!$K$2:$K$1001,_xlfn.AGGREGATE(15,6,(ROW('Row Level Master Sheet'!$K$2:$K$1001)-ROW('Row Level Master Sheet'!$K$2)+1)/('Row Level Master Sheet'!$C$2:$C$1001="Digital"),ROWS($A$2:A621))),"")</f>
        <v>1.39</v>
      </c>
      <c r="B621" s="39" t="str" cm="1">
        <f t="array" ref="B621">IFERROR(INDEX('Row Level Master Sheet'!$K$2:$K$1001,_xlfn.AGGREGATE(15,6,(ROW('Row Level Master Sheet'!$K$2:$K$1001)-ROW('Row Level Master Sheet'!$K$2)+1)/('Row Level Master Sheet'!$C$2:$C$1001="Traditional"),ROWS($B$2:B621))),"")</f>
        <v/>
      </c>
    </row>
    <row r="622" spans="1:2" x14ac:dyDescent="0.35">
      <c r="A622" cm="1">
        <f t="array" ref="A622">IFERROR(INDEX('Row Level Master Sheet'!$K$2:$K$1001,_xlfn.AGGREGATE(15,6,(ROW('Row Level Master Sheet'!$K$2:$K$1001)-ROW('Row Level Master Sheet'!$K$2)+1)/('Row Level Master Sheet'!$C$2:$C$1001="Digital"),ROWS($A$2:A622))),"")</f>
        <v>1.3900000000000001</v>
      </c>
      <c r="B622" s="39" t="str" cm="1">
        <f t="array" ref="B622">IFERROR(INDEX('Row Level Master Sheet'!$K$2:$K$1001,_xlfn.AGGREGATE(15,6,(ROW('Row Level Master Sheet'!$K$2:$K$1001)-ROW('Row Level Master Sheet'!$K$2)+1)/('Row Level Master Sheet'!$C$2:$C$1001="Traditional"),ROWS($B$2:B622))),"")</f>
        <v/>
      </c>
    </row>
    <row r="623" spans="1:2" x14ac:dyDescent="0.35">
      <c r="A623" cm="1">
        <f t="array" ref="A623">IFERROR(INDEX('Row Level Master Sheet'!$K$2:$K$1001,_xlfn.AGGREGATE(15,6,(ROW('Row Level Master Sheet'!$K$2:$K$1001)-ROW('Row Level Master Sheet'!$K$2)+1)/('Row Level Master Sheet'!$C$2:$C$1001="Digital"),ROWS($A$2:A623))),"")</f>
        <v>1.4</v>
      </c>
      <c r="B623" s="39" t="str" cm="1">
        <f t="array" ref="B623">IFERROR(INDEX('Row Level Master Sheet'!$K$2:$K$1001,_xlfn.AGGREGATE(15,6,(ROW('Row Level Master Sheet'!$K$2:$K$1001)-ROW('Row Level Master Sheet'!$K$2)+1)/('Row Level Master Sheet'!$C$2:$C$1001="Traditional"),ROWS($B$2:B623))),"")</f>
        <v/>
      </c>
    </row>
    <row r="624" spans="1:2" x14ac:dyDescent="0.35">
      <c r="A624" cm="1">
        <f t="array" ref="A624">IFERROR(INDEX('Row Level Master Sheet'!$K$2:$K$1001,_xlfn.AGGREGATE(15,6,(ROW('Row Level Master Sheet'!$K$2:$K$1001)-ROW('Row Level Master Sheet'!$K$2)+1)/('Row Level Master Sheet'!$C$2:$C$1001="Digital"),ROWS($A$2:A624))),"")</f>
        <v>1.4</v>
      </c>
      <c r="B624" s="39" t="str" cm="1">
        <f t="array" ref="B624">IFERROR(INDEX('Row Level Master Sheet'!$K$2:$K$1001,_xlfn.AGGREGATE(15,6,(ROW('Row Level Master Sheet'!$K$2:$K$1001)-ROW('Row Level Master Sheet'!$K$2)+1)/('Row Level Master Sheet'!$C$2:$C$1001="Traditional"),ROWS($B$2:B624))),"")</f>
        <v/>
      </c>
    </row>
    <row r="625" spans="1:2" x14ac:dyDescent="0.35">
      <c r="A625" cm="1">
        <f t="array" ref="A625">IFERROR(INDEX('Row Level Master Sheet'!$K$2:$K$1001,_xlfn.AGGREGATE(15,6,(ROW('Row Level Master Sheet'!$K$2:$K$1001)-ROW('Row Level Master Sheet'!$K$2)+1)/('Row Level Master Sheet'!$C$2:$C$1001="Digital"),ROWS($A$2:A625))),"")</f>
        <v>1.4</v>
      </c>
      <c r="B625" s="39" t="str" cm="1">
        <f t="array" ref="B625">IFERROR(INDEX('Row Level Master Sheet'!$K$2:$K$1001,_xlfn.AGGREGATE(15,6,(ROW('Row Level Master Sheet'!$K$2:$K$1001)-ROW('Row Level Master Sheet'!$K$2)+1)/('Row Level Master Sheet'!$C$2:$C$1001="Traditional"),ROWS($B$2:B625))),"")</f>
        <v/>
      </c>
    </row>
    <row r="626" spans="1:2" x14ac:dyDescent="0.35">
      <c r="A626" cm="1">
        <f t="array" ref="A626">IFERROR(INDEX('Row Level Master Sheet'!$K$2:$K$1001,_xlfn.AGGREGATE(15,6,(ROW('Row Level Master Sheet'!$K$2:$K$1001)-ROW('Row Level Master Sheet'!$K$2)+1)/('Row Level Master Sheet'!$C$2:$C$1001="Digital"),ROWS($A$2:A626))),"")</f>
        <v>1.41</v>
      </c>
      <c r="B626" s="39" t="str" cm="1">
        <f t="array" ref="B626">IFERROR(INDEX('Row Level Master Sheet'!$K$2:$K$1001,_xlfn.AGGREGATE(15,6,(ROW('Row Level Master Sheet'!$K$2:$K$1001)-ROW('Row Level Master Sheet'!$K$2)+1)/('Row Level Master Sheet'!$C$2:$C$1001="Traditional"),ROWS($B$2:B626))),"")</f>
        <v/>
      </c>
    </row>
    <row r="627" spans="1:2" x14ac:dyDescent="0.35">
      <c r="A627" cm="1">
        <f t="array" ref="A627">IFERROR(INDEX('Row Level Master Sheet'!$K$2:$K$1001,_xlfn.AGGREGATE(15,6,(ROW('Row Level Master Sheet'!$K$2:$K$1001)-ROW('Row Level Master Sheet'!$K$2)+1)/('Row Level Master Sheet'!$C$2:$C$1001="Digital"),ROWS($A$2:A627))),"")</f>
        <v>1.41</v>
      </c>
      <c r="B627" s="39" t="str" cm="1">
        <f t="array" ref="B627">IFERROR(INDEX('Row Level Master Sheet'!$K$2:$K$1001,_xlfn.AGGREGATE(15,6,(ROW('Row Level Master Sheet'!$K$2:$K$1001)-ROW('Row Level Master Sheet'!$K$2)+1)/('Row Level Master Sheet'!$C$2:$C$1001="Traditional"),ROWS($B$2:B627))),"")</f>
        <v/>
      </c>
    </row>
    <row r="628" spans="1:2" x14ac:dyDescent="0.35">
      <c r="A628" cm="1">
        <f t="array" ref="A628">IFERROR(INDEX('Row Level Master Sheet'!$K$2:$K$1001,_xlfn.AGGREGATE(15,6,(ROW('Row Level Master Sheet'!$K$2:$K$1001)-ROW('Row Level Master Sheet'!$K$2)+1)/('Row Level Master Sheet'!$C$2:$C$1001="Digital"),ROWS($A$2:A628))),"")</f>
        <v>1.41</v>
      </c>
      <c r="B628" s="39" t="str" cm="1">
        <f t="array" ref="B628">IFERROR(INDEX('Row Level Master Sheet'!$K$2:$K$1001,_xlfn.AGGREGATE(15,6,(ROW('Row Level Master Sheet'!$K$2:$K$1001)-ROW('Row Level Master Sheet'!$K$2)+1)/('Row Level Master Sheet'!$C$2:$C$1001="Traditional"),ROWS($B$2:B628))),"")</f>
        <v/>
      </c>
    </row>
    <row r="629" spans="1:2" x14ac:dyDescent="0.35">
      <c r="A629" cm="1">
        <f t="array" ref="A629">IFERROR(INDEX('Row Level Master Sheet'!$K$2:$K$1001,_xlfn.AGGREGATE(15,6,(ROW('Row Level Master Sheet'!$K$2:$K$1001)-ROW('Row Level Master Sheet'!$K$2)+1)/('Row Level Master Sheet'!$C$2:$C$1001="Digital"),ROWS($A$2:A629))),"")</f>
        <v>1.41</v>
      </c>
      <c r="B629" s="39" t="str" cm="1">
        <f t="array" ref="B629">IFERROR(INDEX('Row Level Master Sheet'!$K$2:$K$1001,_xlfn.AGGREGATE(15,6,(ROW('Row Level Master Sheet'!$K$2:$K$1001)-ROW('Row Level Master Sheet'!$K$2)+1)/('Row Level Master Sheet'!$C$2:$C$1001="Traditional"),ROWS($B$2:B629))),"")</f>
        <v/>
      </c>
    </row>
    <row r="630" spans="1:2" x14ac:dyDescent="0.35">
      <c r="A630" cm="1">
        <f t="array" ref="A630">IFERROR(INDEX('Row Level Master Sheet'!$K$2:$K$1001,_xlfn.AGGREGATE(15,6,(ROW('Row Level Master Sheet'!$K$2:$K$1001)-ROW('Row Level Master Sheet'!$K$2)+1)/('Row Level Master Sheet'!$C$2:$C$1001="Digital"),ROWS($A$2:A630))),"")</f>
        <v>1.4199999999999997</v>
      </c>
      <c r="B630" s="39" t="str" cm="1">
        <f t="array" ref="B630">IFERROR(INDEX('Row Level Master Sheet'!$K$2:$K$1001,_xlfn.AGGREGATE(15,6,(ROW('Row Level Master Sheet'!$K$2:$K$1001)-ROW('Row Level Master Sheet'!$K$2)+1)/('Row Level Master Sheet'!$C$2:$C$1001="Traditional"),ROWS($B$2:B630))),"")</f>
        <v/>
      </c>
    </row>
    <row r="631" spans="1:2" x14ac:dyDescent="0.35">
      <c r="A631" cm="1">
        <f t="array" ref="A631">IFERROR(INDEX('Row Level Master Sheet'!$K$2:$K$1001,_xlfn.AGGREGATE(15,6,(ROW('Row Level Master Sheet'!$K$2:$K$1001)-ROW('Row Level Master Sheet'!$K$2)+1)/('Row Level Master Sheet'!$C$2:$C$1001="Digital"),ROWS($A$2:A631))),"")</f>
        <v>1.42</v>
      </c>
      <c r="B631" s="39" t="str" cm="1">
        <f t="array" ref="B631">IFERROR(INDEX('Row Level Master Sheet'!$K$2:$K$1001,_xlfn.AGGREGATE(15,6,(ROW('Row Level Master Sheet'!$K$2:$K$1001)-ROW('Row Level Master Sheet'!$K$2)+1)/('Row Level Master Sheet'!$C$2:$C$1001="Traditional"),ROWS($B$2:B631))),"")</f>
        <v/>
      </c>
    </row>
    <row r="632" spans="1:2" x14ac:dyDescent="0.35">
      <c r="A632" cm="1">
        <f t="array" ref="A632">IFERROR(INDEX('Row Level Master Sheet'!$K$2:$K$1001,_xlfn.AGGREGATE(15,6,(ROW('Row Level Master Sheet'!$K$2:$K$1001)-ROW('Row Level Master Sheet'!$K$2)+1)/('Row Level Master Sheet'!$C$2:$C$1001="Digital"),ROWS($A$2:A632))),"")</f>
        <v>1.42</v>
      </c>
      <c r="B632" s="39" t="str" cm="1">
        <f t="array" ref="B632">IFERROR(INDEX('Row Level Master Sheet'!$K$2:$K$1001,_xlfn.AGGREGATE(15,6,(ROW('Row Level Master Sheet'!$K$2:$K$1001)-ROW('Row Level Master Sheet'!$K$2)+1)/('Row Level Master Sheet'!$C$2:$C$1001="Traditional"),ROWS($B$2:B632))),"")</f>
        <v/>
      </c>
    </row>
    <row r="633" spans="1:2" x14ac:dyDescent="0.35">
      <c r="A633" cm="1">
        <f t="array" ref="A633">IFERROR(INDEX('Row Level Master Sheet'!$K$2:$K$1001,_xlfn.AGGREGATE(15,6,(ROW('Row Level Master Sheet'!$K$2:$K$1001)-ROW('Row Level Master Sheet'!$K$2)+1)/('Row Level Master Sheet'!$C$2:$C$1001="Digital"),ROWS($A$2:A633))),"")</f>
        <v>1.42</v>
      </c>
      <c r="B633" s="39" t="str" cm="1">
        <f t="array" ref="B633">IFERROR(INDEX('Row Level Master Sheet'!$K$2:$K$1001,_xlfn.AGGREGATE(15,6,(ROW('Row Level Master Sheet'!$K$2:$K$1001)-ROW('Row Level Master Sheet'!$K$2)+1)/('Row Level Master Sheet'!$C$2:$C$1001="Traditional"),ROWS($B$2:B633))),"")</f>
        <v/>
      </c>
    </row>
    <row r="634" spans="1:2" x14ac:dyDescent="0.35">
      <c r="A634" cm="1">
        <f t="array" ref="A634">IFERROR(INDEX('Row Level Master Sheet'!$K$2:$K$1001,_xlfn.AGGREGATE(15,6,(ROW('Row Level Master Sheet'!$K$2:$K$1001)-ROW('Row Level Master Sheet'!$K$2)+1)/('Row Level Master Sheet'!$C$2:$C$1001="Digital"),ROWS($A$2:A634))),"")</f>
        <v>1.42</v>
      </c>
      <c r="B634" s="39" t="str" cm="1">
        <f t="array" ref="B634">IFERROR(INDEX('Row Level Master Sheet'!$K$2:$K$1001,_xlfn.AGGREGATE(15,6,(ROW('Row Level Master Sheet'!$K$2:$K$1001)-ROW('Row Level Master Sheet'!$K$2)+1)/('Row Level Master Sheet'!$C$2:$C$1001="Traditional"),ROWS($B$2:B634))),"")</f>
        <v/>
      </c>
    </row>
    <row r="635" spans="1:2" x14ac:dyDescent="0.35">
      <c r="A635" cm="1">
        <f t="array" ref="A635">IFERROR(INDEX('Row Level Master Sheet'!$K$2:$K$1001,_xlfn.AGGREGATE(15,6,(ROW('Row Level Master Sheet'!$K$2:$K$1001)-ROW('Row Level Master Sheet'!$K$2)+1)/('Row Level Master Sheet'!$C$2:$C$1001="Digital"),ROWS($A$2:A635))),"")</f>
        <v>1.42</v>
      </c>
      <c r="B635" s="39" t="str" cm="1">
        <f t="array" ref="B635">IFERROR(INDEX('Row Level Master Sheet'!$K$2:$K$1001,_xlfn.AGGREGATE(15,6,(ROW('Row Level Master Sheet'!$K$2:$K$1001)-ROW('Row Level Master Sheet'!$K$2)+1)/('Row Level Master Sheet'!$C$2:$C$1001="Traditional"),ROWS($B$2:B635))),"")</f>
        <v/>
      </c>
    </row>
    <row r="636" spans="1:2" x14ac:dyDescent="0.35">
      <c r="A636" cm="1">
        <f t="array" ref="A636">IFERROR(INDEX('Row Level Master Sheet'!$K$2:$K$1001,_xlfn.AGGREGATE(15,6,(ROW('Row Level Master Sheet'!$K$2:$K$1001)-ROW('Row Level Master Sheet'!$K$2)+1)/('Row Level Master Sheet'!$C$2:$C$1001="Digital"),ROWS($A$2:A636))),"")</f>
        <v>1.4200000000000002</v>
      </c>
      <c r="B636" s="39" t="str" cm="1">
        <f t="array" ref="B636">IFERROR(INDEX('Row Level Master Sheet'!$K$2:$K$1001,_xlfn.AGGREGATE(15,6,(ROW('Row Level Master Sheet'!$K$2:$K$1001)-ROW('Row Level Master Sheet'!$K$2)+1)/('Row Level Master Sheet'!$C$2:$C$1001="Traditional"),ROWS($B$2:B636))),"")</f>
        <v/>
      </c>
    </row>
    <row r="637" spans="1:2" x14ac:dyDescent="0.35">
      <c r="A637" cm="1">
        <f t="array" ref="A637">IFERROR(INDEX('Row Level Master Sheet'!$K$2:$K$1001,_xlfn.AGGREGATE(15,6,(ROW('Row Level Master Sheet'!$K$2:$K$1001)-ROW('Row Level Master Sheet'!$K$2)+1)/('Row Level Master Sheet'!$C$2:$C$1001="Digital"),ROWS($A$2:A637))),"")</f>
        <v>1.4200000000000002</v>
      </c>
      <c r="B637" s="39" t="str" cm="1">
        <f t="array" ref="B637">IFERROR(INDEX('Row Level Master Sheet'!$K$2:$K$1001,_xlfn.AGGREGATE(15,6,(ROW('Row Level Master Sheet'!$K$2:$K$1001)-ROW('Row Level Master Sheet'!$K$2)+1)/('Row Level Master Sheet'!$C$2:$C$1001="Traditional"),ROWS($B$2:B637))),"")</f>
        <v/>
      </c>
    </row>
    <row r="638" spans="1:2" x14ac:dyDescent="0.35">
      <c r="A638" cm="1">
        <f t="array" ref="A638">IFERROR(INDEX('Row Level Master Sheet'!$K$2:$K$1001,_xlfn.AGGREGATE(15,6,(ROW('Row Level Master Sheet'!$K$2:$K$1001)-ROW('Row Level Master Sheet'!$K$2)+1)/('Row Level Master Sheet'!$C$2:$C$1001="Digital"),ROWS($A$2:A638))),"")</f>
        <v>1.4300000000000002</v>
      </c>
      <c r="B638" s="39" t="str" cm="1">
        <f t="array" ref="B638">IFERROR(INDEX('Row Level Master Sheet'!$K$2:$K$1001,_xlfn.AGGREGATE(15,6,(ROW('Row Level Master Sheet'!$K$2:$K$1001)-ROW('Row Level Master Sheet'!$K$2)+1)/('Row Level Master Sheet'!$C$2:$C$1001="Traditional"),ROWS($B$2:B638))),"")</f>
        <v/>
      </c>
    </row>
    <row r="639" spans="1:2" x14ac:dyDescent="0.35">
      <c r="A639" cm="1">
        <f t="array" ref="A639">IFERROR(INDEX('Row Level Master Sheet'!$K$2:$K$1001,_xlfn.AGGREGATE(15,6,(ROW('Row Level Master Sheet'!$K$2:$K$1001)-ROW('Row Level Master Sheet'!$K$2)+1)/('Row Level Master Sheet'!$C$2:$C$1001="Digital"),ROWS($A$2:A639))),"")</f>
        <v>1.44</v>
      </c>
      <c r="B639" s="39" t="str" cm="1">
        <f t="array" ref="B639">IFERROR(INDEX('Row Level Master Sheet'!$K$2:$K$1001,_xlfn.AGGREGATE(15,6,(ROW('Row Level Master Sheet'!$K$2:$K$1001)-ROW('Row Level Master Sheet'!$K$2)+1)/('Row Level Master Sheet'!$C$2:$C$1001="Traditional"),ROWS($B$2:B639))),"")</f>
        <v/>
      </c>
    </row>
    <row r="640" spans="1:2" x14ac:dyDescent="0.35">
      <c r="A640" cm="1">
        <f t="array" ref="A640">IFERROR(INDEX('Row Level Master Sheet'!$K$2:$K$1001,_xlfn.AGGREGATE(15,6,(ROW('Row Level Master Sheet'!$K$2:$K$1001)-ROW('Row Level Master Sheet'!$K$2)+1)/('Row Level Master Sheet'!$C$2:$C$1001="Digital"),ROWS($A$2:A640))),"")</f>
        <v>1.4499999999999997</v>
      </c>
      <c r="B640" s="39" t="str" cm="1">
        <f t="array" ref="B640">IFERROR(INDEX('Row Level Master Sheet'!$K$2:$K$1001,_xlfn.AGGREGATE(15,6,(ROW('Row Level Master Sheet'!$K$2:$K$1001)-ROW('Row Level Master Sheet'!$K$2)+1)/('Row Level Master Sheet'!$C$2:$C$1001="Traditional"),ROWS($B$2:B640))),"")</f>
        <v/>
      </c>
    </row>
    <row r="641" spans="1:2" x14ac:dyDescent="0.35">
      <c r="A641" cm="1">
        <f t="array" ref="A641">IFERROR(INDEX('Row Level Master Sheet'!$K$2:$K$1001,_xlfn.AGGREGATE(15,6,(ROW('Row Level Master Sheet'!$K$2:$K$1001)-ROW('Row Level Master Sheet'!$K$2)+1)/('Row Level Master Sheet'!$C$2:$C$1001="Digital"),ROWS($A$2:A641))),"")</f>
        <v>1.45</v>
      </c>
      <c r="B641" s="39" t="str" cm="1">
        <f t="array" ref="B641">IFERROR(INDEX('Row Level Master Sheet'!$K$2:$K$1001,_xlfn.AGGREGATE(15,6,(ROW('Row Level Master Sheet'!$K$2:$K$1001)-ROW('Row Level Master Sheet'!$K$2)+1)/('Row Level Master Sheet'!$C$2:$C$1001="Traditional"),ROWS($B$2:B641))),"")</f>
        <v/>
      </c>
    </row>
    <row r="642" spans="1:2" x14ac:dyDescent="0.35">
      <c r="A642" cm="1">
        <f t="array" ref="A642">IFERROR(INDEX('Row Level Master Sheet'!$K$2:$K$1001,_xlfn.AGGREGATE(15,6,(ROW('Row Level Master Sheet'!$K$2:$K$1001)-ROW('Row Level Master Sheet'!$K$2)+1)/('Row Level Master Sheet'!$C$2:$C$1001="Digital"),ROWS($A$2:A642))),"")</f>
        <v>1.45</v>
      </c>
      <c r="B642" s="39" t="str" cm="1">
        <f t="array" ref="B642">IFERROR(INDEX('Row Level Master Sheet'!$K$2:$K$1001,_xlfn.AGGREGATE(15,6,(ROW('Row Level Master Sheet'!$K$2:$K$1001)-ROW('Row Level Master Sheet'!$K$2)+1)/('Row Level Master Sheet'!$C$2:$C$1001="Traditional"),ROWS($B$2:B642))),"")</f>
        <v/>
      </c>
    </row>
    <row r="643" spans="1:2" x14ac:dyDescent="0.35">
      <c r="A643" cm="1">
        <f t="array" ref="A643">IFERROR(INDEX('Row Level Master Sheet'!$K$2:$K$1001,_xlfn.AGGREGATE(15,6,(ROW('Row Level Master Sheet'!$K$2:$K$1001)-ROW('Row Level Master Sheet'!$K$2)+1)/('Row Level Master Sheet'!$C$2:$C$1001="Digital"),ROWS($A$2:A643))),"")</f>
        <v>1.45</v>
      </c>
      <c r="B643" s="39" t="str" cm="1">
        <f t="array" ref="B643">IFERROR(INDEX('Row Level Master Sheet'!$K$2:$K$1001,_xlfn.AGGREGATE(15,6,(ROW('Row Level Master Sheet'!$K$2:$K$1001)-ROW('Row Level Master Sheet'!$K$2)+1)/('Row Level Master Sheet'!$C$2:$C$1001="Traditional"),ROWS($B$2:B643))),"")</f>
        <v/>
      </c>
    </row>
    <row r="644" spans="1:2" x14ac:dyDescent="0.35">
      <c r="A644" cm="1">
        <f t="array" ref="A644">IFERROR(INDEX('Row Level Master Sheet'!$K$2:$K$1001,_xlfn.AGGREGATE(15,6,(ROW('Row Level Master Sheet'!$K$2:$K$1001)-ROW('Row Level Master Sheet'!$K$2)+1)/('Row Level Master Sheet'!$C$2:$C$1001="Digital"),ROWS($A$2:A644))),"")</f>
        <v>1.46</v>
      </c>
      <c r="B644" s="39" t="str" cm="1">
        <f t="array" ref="B644">IFERROR(INDEX('Row Level Master Sheet'!$K$2:$K$1001,_xlfn.AGGREGATE(15,6,(ROW('Row Level Master Sheet'!$K$2:$K$1001)-ROW('Row Level Master Sheet'!$K$2)+1)/('Row Level Master Sheet'!$C$2:$C$1001="Traditional"),ROWS($B$2:B644))),"")</f>
        <v/>
      </c>
    </row>
    <row r="645" spans="1:2" x14ac:dyDescent="0.35">
      <c r="A645" cm="1">
        <f t="array" ref="A645">IFERROR(INDEX('Row Level Master Sheet'!$K$2:$K$1001,_xlfn.AGGREGATE(15,6,(ROW('Row Level Master Sheet'!$K$2:$K$1001)-ROW('Row Level Master Sheet'!$K$2)+1)/('Row Level Master Sheet'!$C$2:$C$1001="Digital"),ROWS($A$2:A645))),"")</f>
        <v>1.46</v>
      </c>
      <c r="B645" s="39" t="str" cm="1">
        <f t="array" ref="B645">IFERROR(INDEX('Row Level Master Sheet'!$K$2:$K$1001,_xlfn.AGGREGATE(15,6,(ROW('Row Level Master Sheet'!$K$2:$K$1001)-ROW('Row Level Master Sheet'!$K$2)+1)/('Row Level Master Sheet'!$C$2:$C$1001="Traditional"),ROWS($B$2:B645))),"")</f>
        <v/>
      </c>
    </row>
    <row r="646" spans="1:2" x14ac:dyDescent="0.35">
      <c r="A646" cm="1">
        <f t="array" ref="A646">IFERROR(INDEX('Row Level Master Sheet'!$K$2:$K$1001,_xlfn.AGGREGATE(15,6,(ROW('Row Level Master Sheet'!$K$2:$K$1001)-ROW('Row Level Master Sheet'!$K$2)+1)/('Row Level Master Sheet'!$C$2:$C$1001="Digital"),ROWS($A$2:A646))),"")</f>
        <v>1.4699999999999995</v>
      </c>
      <c r="B646" s="39" t="str" cm="1">
        <f t="array" ref="B646">IFERROR(INDEX('Row Level Master Sheet'!$K$2:$K$1001,_xlfn.AGGREGATE(15,6,(ROW('Row Level Master Sheet'!$K$2:$K$1001)-ROW('Row Level Master Sheet'!$K$2)+1)/('Row Level Master Sheet'!$C$2:$C$1001="Traditional"),ROWS($B$2:B646))),"")</f>
        <v/>
      </c>
    </row>
    <row r="647" spans="1:2" x14ac:dyDescent="0.35">
      <c r="A647" cm="1">
        <f t="array" ref="A647">IFERROR(INDEX('Row Level Master Sheet'!$K$2:$K$1001,_xlfn.AGGREGATE(15,6,(ROW('Row Level Master Sheet'!$K$2:$K$1001)-ROW('Row Level Master Sheet'!$K$2)+1)/('Row Level Master Sheet'!$C$2:$C$1001="Digital"),ROWS($A$2:A647))),"")</f>
        <v>1.4699999999999998</v>
      </c>
      <c r="B647" s="39" t="str" cm="1">
        <f t="array" ref="B647">IFERROR(INDEX('Row Level Master Sheet'!$K$2:$K$1001,_xlfn.AGGREGATE(15,6,(ROW('Row Level Master Sheet'!$K$2:$K$1001)-ROW('Row Level Master Sheet'!$K$2)+1)/('Row Level Master Sheet'!$C$2:$C$1001="Traditional"),ROWS($B$2:B647))),"")</f>
        <v/>
      </c>
    </row>
    <row r="648" spans="1:2" x14ac:dyDescent="0.35">
      <c r="A648" cm="1">
        <f t="array" ref="A648">IFERROR(INDEX('Row Level Master Sheet'!$K$2:$K$1001,_xlfn.AGGREGATE(15,6,(ROW('Row Level Master Sheet'!$K$2:$K$1001)-ROW('Row Level Master Sheet'!$K$2)+1)/('Row Level Master Sheet'!$C$2:$C$1001="Digital"),ROWS($A$2:A648))),"")</f>
        <v>1.4699999999999998</v>
      </c>
      <c r="B648" s="39" t="str" cm="1">
        <f t="array" ref="B648">IFERROR(INDEX('Row Level Master Sheet'!$K$2:$K$1001,_xlfn.AGGREGATE(15,6,(ROW('Row Level Master Sheet'!$K$2:$K$1001)-ROW('Row Level Master Sheet'!$K$2)+1)/('Row Level Master Sheet'!$C$2:$C$1001="Traditional"),ROWS($B$2:B648))),"")</f>
        <v/>
      </c>
    </row>
    <row r="649" spans="1:2" x14ac:dyDescent="0.35">
      <c r="A649" cm="1">
        <f t="array" ref="A649">IFERROR(INDEX('Row Level Master Sheet'!$K$2:$K$1001,_xlfn.AGGREGATE(15,6,(ROW('Row Level Master Sheet'!$K$2:$K$1001)-ROW('Row Level Master Sheet'!$K$2)+1)/('Row Level Master Sheet'!$C$2:$C$1001="Digital"),ROWS($A$2:A649))),"")</f>
        <v>1.47</v>
      </c>
      <c r="B649" s="39" t="str" cm="1">
        <f t="array" ref="B649">IFERROR(INDEX('Row Level Master Sheet'!$K$2:$K$1001,_xlfn.AGGREGATE(15,6,(ROW('Row Level Master Sheet'!$K$2:$K$1001)-ROW('Row Level Master Sheet'!$K$2)+1)/('Row Level Master Sheet'!$C$2:$C$1001="Traditional"),ROWS($B$2:B649))),"")</f>
        <v/>
      </c>
    </row>
    <row r="650" spans="1:2" x14ac:dyDescent="0.35">
      <c r="A650" cm="1">
        <f t="array" ref="A650">IFERROR(INDEX('Row Level Master Sheet'!$K$2:$K$1001,_xlfn.AGGREGATE(15,6,(ROW('Row Level Master Sheet'!$K$2:$K$1001)-ROW('Row Level Master Sheet'!$K$2)+1)/('Row Level Master Sheet'!$C$2:$C$1001="Digital"),ROWS($A$2:A650))),"")</f>
        <v>1.4700000000000002</v>
      </c>
      <c r="B650" s="39" t="str" cm="1">
        <f t="array" ref="B650">IFERROR(INDEX('Row Level Master Sheet'!$K$2:$K$1001,_xlfn.AGGREGATE(15,6,(ROW('Row Level Master Sheet'!$K$2:$K$1001)-ROW('Row Level Master Sheet'!$K$2)+1)/('Row Level Master Sheet'!$C$2:$C$1001="Traditional"),ROWS($B$2:B650))),"")</f>
        <v/>
      </c>
    </row>
    <row r="651" spans="1:2" x14ac:dyDescent="0.35">
      <c r="A651" cm="1">
        <f t="array" ref="A651">IFERROR(INDEX('Row Level Master Sheet'!$K$2:$K$1001,_xlfn.AGGREGATE(15,6,(ROW('Row Level Master Sheet'!$K$2:$K$1001)-ROW('Row Level Master Sheet'!$K$2)+1)/('Row Level Master Sheet'!$C$2:$C$1001="Digital"),ROWS($A$2:A651))),"")</f>
        <v>1.4799999999999998</v>
      </c>
      <c r="B651" s="39" t="str" cm="1">
        <f t="array" ref="B651">IFERROR(INDEX('Row Level Master Sheet'!$K$2:$K$1001,_xlfn.AGGREGATE(15,6,(ROW('Row Level Master Sheet'!$K$2:$K$1001)-ROW('Row Level Master Sheet'!$K$2)+1)/('Row Level Master Sheet'!$C$2:$C$1001="Traditional"),ROWS($B$2:B651))),"")</f>
        <v/>
      </c>
    </row>
    <row r="652" spans="1:2" x14ac:dyDescent="0.35">
      <c r="A652" cm="1">
        <f t="array" ref="A652">IFERROR(INDEX('Row Level Master Sheet'!$K$2:$K$1001,_xlfn.AGGREGATE(15,6,(ROW('Row Level Master Sheet'!$K$2:$K$1001)-ROW('Row Level Master Sheet'!$K$2)+1)/('Row Level Master Sheet'!$C$2:$C$1001="Digital"),ROWS($A$2:A652))),"")</f>
        <v>1.4800000000000002</v>
      </c>
      <c r="B652" s="39" t="str" cm="1">
        <f t="array" ref="B652">IFERROR(INDEX('Row Level Master Sheet'!$K$2:$K$1001,_xlfn.AGGREGATE(15,6,(ROW('Row Level Master Sheet'!$K$2:$K$1001)-ROW('Row Level Master Sheet'!$K$2)+1)/('Row Level Master Sheet'!$C$2:$C$1001="Traditional"),ROWS($B$2:B652))),"")</f>
        <v/>
      </c>
    </row>
    <row r="653" spans="1:2" x14ac:dyDescent="0.35">
      <c r="A653" cm="1">
        <f t="array" ref="A653">IFERROR(INDEX('Row Level Master Sheet'!$K$2:$K$1001,_xlfn.AGGREGATE(15,6,(ROW('Row Level Master Sheet'!$K$2:$K$1001)-ROW('Row Level Master Sheet'!$K$2)+1)/('Row Level Master Sheet'!$C$2:$C$1001="Digital"),ROWS($A$2:A653))),"")</f>
        <v>1.4899999999999998</v>
      </c>
      <c r="B653" s="39" t="str" cm="1">
        <f t="array" ref="B653">IFERROR(INDEX('Row Level Master Sheet'!$K$2:$K$1001,_xlfn.AGGREGATE(15,6,(ROW('Row Level Master Sheet'!$K$2:$K$1001)-ROW('Row Level Master Sheet'!$K$2)+1)/('Row Level Master Sheet'!$C$2:$C$1001="Traditional"),ROWS($B$2:B653))),"")</f>
        <v/>
      </c>
    </row>
    <row r="654" spans="1:2" x14ac:dyDescent="0.35">
      <c r="A654" cm="1">
        <f t="array" ref="A654">IFERROR(INDEX('Row Level Master Sheet'!$K$2:$K$1001,_xlfn.AGGREGATE(15,6,(ROW('Row Level Master Sheet'!$K$2:$K$1001)-ROW('Row Level Master Sheet'!$K$2)+1)/('Row Level Master Sheet'!$C$2:$C$1001="Digital"),ROWS($A$2:A654))),"")</f>
        <v>1.4900000000000004</v>
      </c>
      <c r="B654" s="39" t="str" cm="1">
        <f t="array" ref="B654">IFERROR(INDEX('Row Level Master Sheet'!$K$2:$K$1001,_xlfn.AGGREGATE(15,6,(ROW('Row Level Master Sheet'!$K$2:$K$1001)-ROW('Row Level Master Sheet'!$K$2)+1)/('Row Level Master Sheet'!$C$2:$C$1001="Traditional"),ROWS($B$2:B654))),"")</f>
        <v/>
      </c>
    </row>
    <row r="655" spans="1:2" x14ac:dyDescent="0.35">
      <c r="A655" cm="1">
        <f t="array" ref="A655">IFERROR(INDEX('Row Level Master Sheet'!$K$2:$K$1001,_xlfn.AGGREGATE(15,6,(ROW('Row Level Master Sheet'!$K$2:$K$1001)-ROW('Row Level Master Sheet'!$K$2)+1)/('Row Level Master Sheet'!$C$2:$C$1001="Digital"),ROWS($A$2:A655))),"")</f>
        <v>1.5</v>
      </c>
      <c r="B655" s="39" t="str" cm="1">
        <f t="array" ref="B655">IFERROR(INDEX('Row Level Master Sheet'!$K$2:$K$1001,_xlfn.AGGREGATE(15,6,(ROW('Row Level Master Sheet'!$K$2:$K$1001)-ROW('Row Level Master Sheet'!$K$2)+1)/('Row Level Master Sheet'!$C$2:$C$1001="Traditional"),ROWS($B$2:B655))),"")</f>
        <v/>
      </c>
    </row>
    <row r="656" spans="1:2" x14ac:dyDescent="0.35">
      <c r="A656" cm="1">
        <f t="array" ref="A656">IFERROR(INDEX('Row Level Master Sheet'!$K$2:$K$1001,_xlfn.AGGREGATE(15,6,(ROW('Row Level Master Sheet'!$K$2:$K$1001)-ROW('Row Level Master Sheet'!$K$2)+1)/('Row Level Master Sheet'!$C$2:$C$1001="Digital"),ROWS($A$2:A656))),"")</f>
        <v>1.5000000000000002</v>
      </c>
      <c r="B656" s="39" t="str" cm="1">
        <f t="array" ref="B656">IFERROR(INDEX('Row Level Master Sheet'!$K$2:$K$1001,_xlfn.AGGREGATE(15,6,(ROW('Row Level Master Sheet'!$K$2:$K$1001)-ROW('Row Level Master Sheet'!$K$2)+1)/('Row Level Master Sheet'!$C$2:$C$1001="Traditional"),ROWS($B$2:B656))),"")</f>
        <v/>
      </c>
    </row>
    <row r="657" spans="1:2" x14ac:dyDescent="0.35">
      <c r="A657" t="str" cm="1">
        <f t="array" ref="A657">IFERROR(INDEX('Row Level Master Sheet'!$K$2:$K$1001,_xlfn.AGGREGATE(15,6,(ROW('Row Level Master Sheet'!$K$2:$K$1001)-ROW('Row Level Master Sheet'!$K$2)+1)/('Row Level Master Sheet'!$C$2:$C$1001="Digital"),ROWS($A$2:A657))),"")</f>
        <v/>
      </c>
      <c r="B657" s="39" t="str" cm="1">
        <f t="array" ref="B657">IFERROR(INDEX('Row Level Master Sheet'!$K$2:$K$1001,_xlfn.AGGREGATE(15,6,(ROW('Row Level Master Sheet'!$K$2:$K$1001)-ROW('Row Level Master Sheet'!$K$2)+1)/('Row Level Master Sheet'!$C$2:$C$1001="Traditional"),ROWS($B$2:B657))),"")</f>
        <v/>
      </c>
    </row>
    <row r="658" spans="1:2" x14ac:dyDescent="0.35">
      <c r="A658" t="str" cm="1">
        <f t="array" ref="A658">IFERROR(INDEX('Row Level Master Sheet'!$K$2:$K$1001,_xlfn.AGGREGATE(15,6,(ROW('Row Level Master Sheet'!$K$2:$K$1001)-ROW('Row Level Master Sheet'!$K$2)+1)/('Row Level Master Sheet'!$C$2:$C$1001="Digital"),ROWS($A$2:A658))),"")</f>
        <v/>
      </c>
      <c r="B658" s="39" t="str" cm="1">
        <f t="array" ref="B658">IFERROR(INDEX('Row Level Master Sheet'!$K$2:$K$1001,_xlfn.AGGREGATE(15,6,(ROW('Row Level Master Sheet'!$K$2:$K$1001)-ROW('Row Level Master Sheet'!$K$2)+1)/('Row Level Master Sheet'!$C$2:$C$1001="Traditional"),ROWS($B$2:B658))),"")</f>
        <v/>
      </c>
    </row>
    <row r="659" spans="1:2" x14ac:dyDescent="0.35">
      <c r="A659" t="str" cm="1">
        <f t="array" ref="A659">IFERROR(INDEX('Row Level Master Sheet'!$K$2:$K$1001,_xlfn.AGGREGATE(15,6,(ROW('Row Level Master Sheet'!$K$2:$K$1001)-ROW('Row Level Master Sheet'!$K$2)+1)/('Row Level Master Sheet'!$C$2:$C$1001="Digital"),ROWS($A$2:A659))),"")</f>
        <v/>
      </c>
      <c r="B659" s="39" t="str" cm="1">
        <f t="array" ref="B659">IFERROR(INDEX('Row Level Master Sheet'!$K$2:$K$1001,_xlfn.AGGREGATE(15,6,(ROW('Row Level Master Sheet'!$K$2:$K$1001)-ROW('Row Level Master Sheet'!$K$2)+1)/('Row Level Master Sheet'!$C$2:$C$1001="Traditional"),ROWS($B$2:B659))),"")</f>
        <v/>
      </c>
    </row>
    <row r="660" spans="1:2" x14ac:dyDescent="0.35">
      <c r="A660" t="str" cm="1">
        <f t="array" ref="A660">IFERROR(INDEX('Row Level Master Sheet'!$K$2:$K$1001,_xlfn.AGGREGATE(15,6,(ROW('Row Level Master Sheet'!$K$2:$K$1001)-ROW('Row Level Master Sheet'!$K$2)+1)/('Row Level Master Sheet'!$C$2:$C$1001="Digital"),ROWS($A$2:A660))),"")</f>
        <v/>
      </c>
      <c r="B660" s="39" t="str" cm="1">
        <f t="array" ref="B660">IFERROR(INDEX('Row Level Master Sheet'!$K$2:$K$1001,_xlfn.AGGREGATE(15,6,(ROW('Row Level Master Sheet'!$K$2:$K$1001)-ROW('Row Level Master Sheet'!$K$2)+1)/('Row Level Master Sheet'!$C$2:$C$1001="Traditional"),ROWS($B$2:B660))),"")</f>
        <v/>
      </c>
    </row>
    <row r="661" spans="1:2" x14ac:dyDescent="0.35">
      <c r="A661" t="str" cm="1">
        <f t="array" ref="A661">IFERROR(INDEX('Row Level Master Sheet'!$K$2:$K$1001,_xlfn.AGGREGATE(15,6,(ROW('Row Level Master Sheet'!$K$2:$K$1001)-ROW('Row Level Master Sheet'!$K$2)+1)/('Row Level Master Sheet'!$C$2:$C$1001="Digital"),ROWS($A$2:A661))),"")</f>
        <v/>
      </c>
      <c r="B661" s="39" t="str" cm="1">
        <f t="array" ref="B661">IFERROR(INDEX('Row Level Master Sheet'!$K$2:$K$1001,_xlfn.AGGREGATE(15,6,(ROW('Row Level Master Sheet'!$K$2:$K$1001)-ROW('Row Level Master Sheet'!$K$2)+1)/('Row Level Master Sheet'!$C$2:$C$1001="Traditional"),ROWS($B$2:B661))),"")</f>
        <v/>
      </c>
    </row>
    <row r="662" spans="1:2" x14ac:dyDescent="0.35">
      <c r="A662" t="str" cm="1">
        <f t="array" ref="A662">IFERROR(INDEX('Row Level Master Sheet'!$K$2:$K$1001,_xlfn.AGGREGATE(15,6,(ROW('Row Level Master Sheet'!$K$2:$K$1001)-ROW('Row Level Master Sheet'!$K$2)+1)/('Row Level Master Sheet'!$C$2:$C$1001="Digital"),ROWS($A$2:A662))),"")</f>
        <v/>
      </c>
      <c r="B662" s="39" t="str" cm="1">
        <f t="array" ref="B662">IFERROR(INDEX('Row Level Master Sheet'!$K$2:$K$1001,_xlfn.AGGREGATE(15,6,(ROW('Row Level Master Sheet'!$K$2:$K$1001)-ROW('Row Level Master Sheet'!$K$2)+1)/('Row Level Master Sheet'!$C$2:$C$1001="Traditional"),ROWS($B$2:B662))),"")</f>
        <v/>
      </c>
    </row>
    <row r="663" spans="1:2" x14ac:dyDescent="0.35">
      <c r="A663" t="str" cm="1">
        <f t="array" ref="A663">IFERROR(INDEX('Row Level Master Sheet'!$K$2:$K$1001,_xlfn.AGGREGATE(15,6,(ROW('Row Level Master Sheet'!$K$2:$K$1001)-ROW('Row Level Master Sheet'!$K$2)+1)/('Row Level Master Sheet'!$C$2:$C$1001="Digital"),ROWS($A$2:A663))),"")</f>
        <v/>
      </c>
      <c r="B663" s="39" t="str" cm="1">
        <f t="array" ref="B663">IFERROR(INDEX('Row Level Master Sheet'!$K$2:$K$1001,_xlfn.AGGREGATE(15,6,(ROW('Row Level Master Sheet'!$K$2:$K$1001)-ROW('Row Level Master Sheet'!$K$2)+1)/('Row Level Master Sheet'!$C$2:$C$1001="Traditional"),ROWS($B$2:B663))),"")</f>
        <v/>
      </c>
    </row>
    <row r="664" spans="1:2" x14ac:dyDescent="0.35">
      <c r="A664" t="str" cm="1">
        <f t="array" ref="A664">IFERROR(INDEX('Row Level Master Sheet'!$K$2:$K$1001,_xlfn.AGGREGATE(15,6,(ROW('Row Level Master Sheet'!$K$2:$K$1001)-ROW('Row Level Master Sheet'!$K$2)+1)/('Row Level Master Sheet'!$C$2:$C$1001="Digital"),ROWS($A$2:A664))),"")</f>
        <v/>
      </c>
      <c r="B664" s="39" t="str" cm="1">
        <f t="array" ref="B664">IFERROR(INDEX('Row Level Master Sheet'!$K$2:$K$1001,_xlfn.AGGREGATE(15,6,(ROW('Row Level Master Sheet'!$K$2:$K$1001)-ROW('Row Level Master Sheet'!$K$2)+1)/('Row Level Master Sheet'!$C$2:$C$1001="Traditional"),ROWS($B$2:B664))),"")</f>
        <v/>
      </c>
    </row>
    <row r="665" spans="1:2" x14ac:dyDescent="0.35">
      <c r="A665" t="str" cm="1">
        <f t="array" ref="A665">IFERROR(INDEX('Row Level Master Sheet'!$K$2:$K$1001,_xlfn.AGGREGATE(15,6,(ROW('Row Level Master Sheet'!$K$2:$K$1001)-ROW('Row Level Master Sheet'!$K$2)+1)/('Row Level Master Sheet'!$C$2:$C$1001="Digital"),ROWS($A$2:A665))),"")</f>
        <v/>
      </c>
      <c r="B665" s="39" t="str" cm="1">
        <f t="array" ref="B665">IFERROR(INDEX('Row Level Master Sheet'!$K$2:$K$1001,_xlfn.AGGREGATE(15,6,(ROW('Row Level Master Sheet'!$K$2:$K$1001)-ROW('Row Level Master Sheet'!$K$2)+1)/('Row Level Master Sheet'!$C$2:$C$1001="Traditional"),ROWS($B$2:B665))),"")</f>
        <v/>
      </c>
    </row>
    <row r="666" spans="1:2" x14ac:dyDescent="0.35">
      <c r="A666" t="str" cm="1">
        <f t="array" ref="A666">IFERROR(INDEX('Row Level Master Sheet'!$K$2:$K$1001,_xlfn.AGGREGATE(15,6,(ROW('Row Level Master Sheet'!$K$2:$K$1001)-ROW('Row Level Master Sheet'!$K$2)+1)/('Row Level Master Sheet'!$C$2:$C$1001="Digital"),ROWS($A$2:A666))),"")</f>
        <v/>
      </c>
      <c r="B666" s="39" t="str" cm="1">
        <f t="array" ref="B666">IFERROR(INDEX('Row Level Master Sheet'!$K$2:$K$1001,_xlfn.AGGREGATE(15,6,(ROW('Row Level Master Sheet'!$K$2:$K$1001)-ROW('Row Level Master Sheet'!$K$2)+1)/('Row Level Master Sheet'!$C$2:$C$1001="Traditional"),ROWS($B$2:B666))),"")</f>
        <v/>
      </c>
    </row>
    <row r="667" spans="1:2" x14ac:dyDescent="0.35">
      <c r="A667" t="str" cm="1">
        <f t="array" ref="A667">IFERROR(INDEX('Row Level Master Sheet'!$K$2:$K$1001,_xlfn.AGGREGATE(15,6,(ROW('Row Level Master Sheet'!$K$2:$K$1001)-ROW('Row Level Master Sheet'!$K$2)+1)/('Row Level Master Sheet'!$C$2:$C$1001="Digital"),ROWS($A$2:A667))),"")</f>
        <v/>
      </c>
      <c r="B667" s="39" t="str" cm="1">
        <f t="array" ref="B667">IFERROR(INDEX('Row Level Master Sheet'!$K$2:$K$1001,_xlfn.AGGREGATE(15,6,(ROW('Row Level Master Sheet'!$K$2:$K$1001)-ROW('Row Level Master Sheet'!$K$2)+1)/('Row Level Master Sheet'!$C$2:$C$1001="Traditional"),ROWS($B$2:B667))),"")</f>
        <v/>
      </c>
    </row>
    <row r="668" spans="1:2" x14ac:dyDescent="0.35">
      <c r="A668" t="str" cm="1">
        <f t="array" ref="A668">IFERROR(INDEX('Row Level Master Sheet'!$K$2:$K$1001,_xlfn.AGGREGATE(15,6,(ROW('Row Level Master Sheet'!$K$2:$K$1001)-ROW('Row Level Master Sheet'!$K$2)+1)/('Row Level Master Sheet'!$C$2:$C$1001="Digital"),ROWS($A$2:A668))),"")</f>
        <v/>
      </c>
      <c r="B668" s="39" t="str" cm="1">
        <f t="array" ref="B668">IFERROR(INDEX('Row Level Master Sheet'!$K$2:$K$1001,_xlfn.AGGREGATE(15,6,(ROW('Row Level Master Sheet'!$K$2:$K$1001)-ROW('Row Level Master Sheet'!$K$2)+1)/('Row Level Master Sheet'!$C$2:$C$1001="Traditional"),ROWS($B$2:B668))),"")</f>
        <v/>
      </c>
    </row>
    <row r="669" spans="1:2" x14ac:dyDescent="0.35">
      <c r="A669" t="str" cm="1">
        <f t="array" ref="A669">IFERROR(INDEX('Row Level Master Sheet'!$K$2:$K$1001,_xlfn.AGGREGATE(15,6,(ROW('Row Level Master Sheet'!$K$2:$K$1001)-ROW('Row Level Master Sheet'!$K$2)+1)/('Row Level Master Sheet'!$C$2:$C$1001="Digital"),ROWS($A$2:A669))),"")</f>
        <v/>
      </c>
      <c r="B669" s="39" t="str" cm="1">
        <f t="array" ref="B669">IFERROR(INDEX('Row Level Master Sheet'!$K$2:$K$1001,_xlfn.AGGREGATE(15,6,(ROW('Row Level Master Sheet'!$K$2:$K$1001)-ROW('Row Level Master Sheet'!$K$2)+1)/('Row Level Master Sheet'!$C$2:$C$1001="Traditional"),ROWS($B$2:B669))),"")</f>
        <v/>
      </c>
    </row>
    <row r="670" spans="1:2" x14ac:dyDescent="0.35">
      <c r="A670" t="str" cm="1">
        <f t="array" ref="A670">IFERROR(INDEX('Row Level Master Sheet'!$K$2:$K$1001,_xlfn.AGGREGATE(15,6,(ROW('Row Level Master Sheet'!$K$2:$K$1001)-ROW('Row Level Master Sheet'!$K$2)+1)/('Row Level Master Sheet'!$C$2:$C$1001="Digital"),ROWS($A$2:A670))),"")</f>
        <v/>
      </c>
      <c r="B670" s="39" t="str" cm="1">
        <f t="array" ref="B670">IFERROR(INDEX('Row Level Master Sheet'!$K$2:$K$1001,_xlfn.AGGREGATE(15,6,(ROW('Row Level Master Sheet'!$K$2:$K$1001)-ROW('Row Level Master Sheet'!$K$2)+1)/('Row Level Master Sheet'!$C$2:$C$1001="Traditional"),ROWS($B$2:B670))),"")</f>
        <v/>
      </c>
    </row>
    <row r="671" spans="1:2" x14ac:dyDescent="0.35">
      <c r="A671" t="str" cm="1">
        <f t="array" ref="A671">IFERROR(INDEX('Row Level Master Sheet'!$K$2:$K$1001,_xlfn.AGGREGATE(15,6,(ROW('Row Level Master Sheet'!$K$2:$K$1001)-ROW('Row Level Master Sheet'!$K$2)+1)/('Row Level Master Sheet'!$C$2:$C$1001="Digital"),ROWS($A$2:A671))),"")</f>
        <v/>
      </c>
      <c r="B671" s="39" t="str" cm="1">
        <f t="array" ref="B671">IFERROR(INDEX('Row Level Master Sheet'!$K$2:$K$1001,_xlfn.AGGREGATE(15,6,(ROW('Row Level Master Sheet'!$K$2:$K$1001)-ROW('Row Level Master Sheet'!$K$2)+1)/('Row Level Master Sheet'!$C$2:$C$1001="Traditional"),ROWS($B$2:B671))),"")</f>
        <v/>
      </c>
    </row>
    <row r="672" spans="1:2" x14ac:dyDescent="0.35">
      <c r="A672" t="str" cm="1">
        <f t="array" ref="A672">IFERROR(INDEX('Row Level Master Sheet'!$K$2:$K$1001,_xlfn.AGGREGATE(15,6,(ROW('Row Level Master Sheet'!$K$2:$K$1001)-ROW('Row Level Master Sheet'!$K$2)+1)/('Row Level Master Sheet'!$C$2:$C$1001="Digital"),ROWS($A$2:A672))),"")</f>
        <v/>
      </c>
      <c r="B672" s="39" t="str" cm="1">
        <f t="array" ref="B672">IFERROR(INDEX('Row Level Master Sheet'!$K$2:$K$1001,_xlfn.AGGREGATE(15,6,(ROW('Row Level Master Sheet'!$K$2:$K$1001)-ROW('Row Level Master Sheet'!$K$2)+1)/('Row Level Master Sheet'!$C$2:$C$1001="Traditional"),ROWS($B$2:B672))),"")</f>
        <v/>
      </c>
    </row>
    <row r="673" spans="1:2" x14ac:dyDescent="0.35">
      <c r="A673" t="str" cm="1">
        <f t="array" ref="A673">IFERROR(INDEX('Row Level Master Sheet'!$K$2:$K$1001,_xlfn.AGGREGATE(15,6,(ROW('Row Level Master Sheet'!$K$2:$K$1001)-ROW('Row Level Master Sheet'!$K$2)+1)/('Row Level Master Sheet'!$C$2:$C$1001="Digital"),ROWS($A$2:A673))),"")</f>
        <v/>
      </c>
      <c r="B673" s="39" t="str" cm="1">
        <f t="array" ref="B673">IFERROR(INDEX('Row Level Master Sheet'!$K$2:$K$1001,_xlfn.AGGREGATE(15,6,(ROW('Row Level Master Sheet'!$K$2:$K$1001)-ROW('Row Level Master Sheet'!$K$2)+1)/('Row Level Master Sheet'!$C$2:$C$1001="Traditional"),ROWS($B$2:B673))),"")</f>
        <v/>
      </c>
    </row>
    <row r="674" spans="1:2" x14ac:dyDescent="0.35">
      <c r="A674" t="str" cm="1">
        <f t="array" ref="A674">IFERROR(INDEX('Row Level Master Sheet'!$K$2:$K$1001,_xlfn.AGGREGATE(15,6,(ROW('Row Level Master Sheet'!$K$2:$K$1001)-ROW('Row Level Master Sheet'!$K$2)+1)/('Row Level Master Sheet'!$C$2:$C$1001="Digital"),ROWS($A$2:A674))),"")</f>
        <v/>
      </c>
      <c r="B674" s="39" t="str" cm="1">
        <f t="array" ref="B674">IFERROR(INDEX('Row Level Master Sheet'!$K$2:$K$1001,_xlfn.AGGREGATE(15,6,(ROW('Row Level Master Sheet'!$K$2:$K$1001)-ROW('Row Level Master Sheet'!$K$2)+1)/('Row Level Master Sheet'!$C$2:$C$1001="Traditional"),ROWS($B$2:B674))),"")</f>
        <v/>
      </c>
    </row>
    <row r="675" spans="1:2" x14ac:dyDescent="0.35">
      <c r="A675" t="str" cm="1">
        <f t="array" ref="A675">IFERROR(INDEX('Row Level Master Sheet'!$K$2:$K$1001,_xlfn.AGGREGATE(15,6,(ROW('Row Level Master Sheet'!$K$2:$K$1001)-ROW('Row Level Master Sheet'!$K$2)+1)/('Row Level Master Sheet'!$C$2:$C$1001="Digital"),ROWS($A$2:A675))),"")</f>
        <v/>
      </c>
      <c r="B675" s="39" t="str" cm="1">
        <f t="array" ref="B675">IFERROR(INDEX('Row Level Master Sheet'!$K$2:$K$1001,_xlfn.AGGREGATE(15,6,(ROW('Row Level Master Sheet'!$K$2:$K$1001)-ROW('Row Level Master Sheet'!$K$2)+1)/('Row Level Master Sheet'!$C$2:$C$1001="Traditional"),ROWS($B$2:B675))),"")</f>
        <v/>
      </c>
    </row>
    <row r="676" spans="1:2" x14ac:dyDescent="0.35">
      <c r="A676" t="str" cm="1">
        <f t="array" ref="A676">IFERROR(INDEX('Row Level Master Sheet'!$K$2:$K$1001,_xlfn.AGGREGATE(15,6,(ROW('Row Level Master Sheet'!$K$2:$K$1001)-ROW('Row Level Master Sheet'!$K$2)+1)/('Row Level Master Sheet'!$C$2:$C$1001="Digital"),ROWS($A$2:A676))),"")</f>
        <v/>
      </c>
      <c r="B676" s="39" t="str" cm="1">
        <f t="array" ref="B676">IFERROR(INDEX('Row Level Master Sheet'!$K$2:$K$1001,_xlfn.AGGREGATE(15,6,(ROW('Row Level Master Sheet'!$K$2:$K$1001)-ROW('Row Level Master Sheet'!$K$2)+1)/('Row Level Master Sheet'!$C$2:$C$1001="Traditional"),ROWS($B$2:B676))),"")</f>
        <v/>
      </c>
    </row>
    <row r="677" spans="1:2" x14ac:dyDescent="0.35">
      <c r="A677" t="str" cm="1">
        <f t="array" ref="A677">IFERROR(INDEX('Row Level Master Sheet'!$K$2:$K$1001,_xlfn.AGGREGATE(15,6,(ROW('Row Level Master Sheet'!$K$2:$K$1001)-ROW('Row Level Master Sheet'!$K$2)+1)/('Row Level Master Sheet'!$C$2:$C$1001="Digital"),ROWS($A$2:A677))),"")</f>
        <v/>
      </c>
      <c r="B677" s="39" t="str" cm="1">
        <f t="array" ref="B677">IFERROR(INDEX('Row Level Master Sheet'!$K$2:$K$1001,_xlfn.AGGREGATE(15,6,(ROW('Row Level Master Sheet'!$K$2:$K$1001)-ROW('Row Level Master Sheet'!$K$2)+1)/('Row Level Master Sheet'!$C$2:$C$1001="Traditional"),ROWS($B$2:B677))),"")</f>
        <v/>
      </c>
    </row>
    <row r="678" spans="1:2" x14ac:dyDescent="0.35">
      <c r="A678" t="str" cm="1">
        <f t="array" ref="A678">IFERROR(INDEX('Row Level Master Sheet'!$K$2:$K$1001,_xlfn.AGGREGATE(15,6,(ROW('Row Level Master Sheet'!$K$2:$K$1001)-ROW('Row Level Master Sheet'!$K$2)+1)/('Row Level Master Sheet'!$C$2:$C$1001="Digital"),ROWS($A$2:A678))),"")</f>
        <v/>
      </c>
      <c r="B678" s="39" t="str" cm="1">
        <f t="array" ref="B678">IFERROR(INDEX('Row Level Master Sheet'!$K$2:$K$1001,_xlfn.AGGREGATE(15,6,(ROW('Row Level Master Sheet'!$K$2:$K$1001)-ROW('Row Level Master Sheet'!$K$2)+1)/('Row Level Master Sheet'!$C$2:$C$1001="Traditional"),ROWS($B$2:B678))),"")</f>
        <v/>
      </c>
    </row>
    <row r="679" spans="1:2" x14ac:dyDescent="0.35">
      <c r="A679" t="str" cm="1">
        <f t="array" ref="A679">IFERROR(INDEX('Row Level Master Sheet'!$K$2:$K$1001,_xlfn.AGGREGATE(15,6,(ROW('Row Level Master Sheet'!$K$2:$K$1001)-ROW('Row Level Master Sheet'!$K$2)+1)/('Row Level Master Sheet'!$C$2:$C$1001="Digital"),ROWS($A$2:A679))),"")</f>
        <v/>
      </c>
      <c r="B679" s="39" t="str" cm="1">
        <f t="array" ref="B679">IFERROR(INDEX('Row Level Master Sheet'!$K$2:$K$1001,_xlfn.AGGREGATE(15,6,(ROW('Row Level Master Sheet'!$K$2:$K$1001)-ROW('Row Level Master Sheet'!$K$2)+1)/('Row Level Master Sheet'!$C$2:$C$1001="Traditional"),ROWS($B$2:B679))),"")</f>
        <v/>
      </c>
    </row>
    <row r="680" spans="1:2" x14ac:dyDescent="0.35">
      <c r="A680" t="str" cm="1">
        <f t="array" ref="A680">IFERROR(INDEX('Row Level Master Sheet'!$K$2:$K$1001,_xlfn.AGGREGATE(15,6,(ROW('Row Level Master Sheet'!$K$2:$K$1001)-ROW('Row Level Master Sheet'!$K$2)+1)/('Row Level Master Sheet'!$C$2:$C$1001="Digital"),ROWS($A$2:A680))),"")</f>
        <v/>
      </c>
      <c r="B680" s="39" t="str" cm="1">
        <f t="array" ref="B680">IFERROR(INDEX('Row Level Master Sheet'!$K$2:$K$1001,_xlfn.AGGREGATE(15,6,(ROW('Row Level Master Sheet'!$K$2:$K$1001)-ROW('Row Level Master Sheet'!$K$2)+1)/('Row Level Master Sheet'!$C$2:$C$1001="Traditional"),ROWS($B$2:B680))),"")</f>
        <v/>
      </c>
    </row>
    <row r="681" spans="1:2" x14ac:dyDescent="0.35">
      <c r="A681" t="str" cm="1">
        <f t="array" ref="A681">IFERROR(INDEX('Row Level Master Sheet'!$K$2:$K$1001,_xlfn.AGGREGATE(15,6,(ROW('Row Level Master Sheet'!$K$2:$K$1001)-ROW('Row Level Master Sheet'!$K$2)+1)/('Row Level Master Sheet'!$C$2:$C$1001="Digital"),ROWS($A$2:A681))),"")</f>
        <v/>
      </c>
      <c r="B681" s="39" t="str" cm="1">
        <f t="array" ref="B681">IFERROR(INDEX('Row Level Master Sheet'!$K$2:$K$1001,_xlfn.AGGREGATE(15,6,(ROW('Row Level Master Sheet'!$K$2:$K$1001)-ROW('Row Level Master Sheet'!$K$2)+1)/('Row Level Master Sheet'!$C$2:$C$1001="Traditional"),ROWS($B$2:B681))),"")</f>
        <v/>
      </c>
    </row>
    <row r="682" spans="1:2" x14ac:dyDescent="0.35">
      <c r="A682" t="str" cm="1">
        <f t="array" ref="A682">IFERROR(INDEX('Row Level Master Sheet'!$K$2:$K$1001,_xlfn.AGGREGATE(15,6,(ROW('Row Level Master Sheet'!$K$2:$K$1001)-ROW('Row Level Master Sheet'!$K$2)+1)/('Row Level Master Sheet'!$C$2:$C$1001="Digital"),ROWS($A$2:A682))),"")</f>
        <v/>
      </c>
      <c r="B682" s="39" t="str" cm="1">
        <f t="array" ref="B682">IFERROR(INDEX('Row Level Master Sheet'!$K$2:$K$1001,_xlfn.AGGREGATE(15,6,(ROW('Row Level Master Sheet'!$K$2:$K$1001)-ROW('Row Level Master Sheet'!$K$2)+1)/('Row Level Master Sheet'!$C$2:$C$1001="Traditional"),ROWS($B$2:B682))),"")</f>
        <v/>
      </c>
    </row>
    <row r="683" spans="1:2" x14ac:dyDescent="0.35">
      <c r="A683" t="str" cm="1">
        <f t="array" ref="A683">IFERROR(INDEX('Row Level Master Sheet'!$K$2:$K$1001,_xlfn.AGGREGATE(15,6,(ROW('Row Level Master Sheet'!$K$2:$K$1001)-ROW('Row Level Master Sheet'!$K$2)+1)/('Row Level Master Sheet'!$C$2:$C$1001="Digital"),ROWS($A$2:A683))),"")</f>
        <v/>
      </c>
      <c r="B683" s="39" t="str" cm="1">
        <f t="array" ref="B683">IFERROR(INDEX('Row Level Master Sheet'!$K$2:$K$1001,_xlfn.AGGREGATE(15,6,(ROW('Row Level Master Sheet'!$K$2:$K$1001)-ROW('Row Level Master Sheet'!$K$2)+1)/('Row Level Master Sheet'!$C$2:$C$1001="Traditional"),ROWS($B$2:B683))),"")</f>
        <v/>
      </c>
    </row>
    <row r="684" spans="1:2" x14ac:dyDescent="0.35">
      <c r="A684" t="str" cm="1">
        <f t="array" ref="A684">IFERROR(INDEX('Row Level Master Sheet'!$K$2:$K$1001,_xlfn.AGGREGATE(15,6,(ROW('Row Level Master Sheet'!$K$2:$K$1001)-ROW('Row Level Master Sheet'!$K$2)+1)/('Row Level Master Sheet'!$C$2:$C$1001="Digital"),ROWS($A$2:A684))),"")</f>
        <v/>
      </c>
      <c r="B684" s="39" t="str" cm="1">
        <f t="array" ref="B684">IFERROR(INDEX('Row Level Master Sheet'!$K$2:$K$1001,_xlfn.AGGREGATE(15,6,(ROW('Row Level Master Sheet'!$K$2:$K$1001)-ROW('Row Level Master Sheet'!$K$2)+1)/('Row Level Master Sheet'!$C$2:$C$1001="Traditional"),ROWS($B$2:B684))),"")</f>
        <v/>
      </c>
    </row>
    <row r="685" spans="1:2" x14ac:dyDescent="0.35">
      <c r="A685" t="str" cm="1">
        <f t="array" ref="A685">IFERROR(INDEX('Row Level Master Sheet'!$K$2:$K$1001,_xlfn.AGGREGATE(15,6,(ROW('Row Level Master Sheet'!$K$2:$K$1001)-ROW('Row Level Master Sheet'!$K$2)+1)/('Row Level Master Sheet'!$C$2:$C$1001="Digital"),ROWS($A$2:A685))),"")</f>
        <v/>
      </c>
      <c r="B685" s="39" t="str" cm="1">
        <f t="array" ref="B685">IFERROR(INDEX('Row Level Master Sheet'!$K$2:$K$1001,_xlfn.AGGREGATE(15,6,(ROW('Row Level Master Sheet'!$K$2:$K$1001)-ROW('Row Level Master Sheet'!$K$2)+1)/('Row Level Master Sheet'!$C$2:$C$1001="Traditional"),ROWS($B$2:B685))),"")</f>
        <v/>
      </c>
    </row>
    <row r="686" spans="1:2" x14ac:dyDescent="0.35">
      <c r="A686" t="str" cm="1">
        <f t="array" ref="A686">IFERROR(INDEX('Row Level Master Sheet'!$K$2:$K$1001,_xlfn.AGGREGATE(15,6,(ROW('Row Level Master Sheet'!$K$2:$K$1001)-ROW('Row Level Master Sheet'!$K$2)+1)/('Row Level Master Sheet'!$C$2:$C$1001="Digital"),ROWS($A$2:A686))),"")</f>
        <v/>
      </c>
      <c r="B686" s="39" t="str" cm="1">
        <f t="array" ref="B686">IFERROR(INDEX('Row Level Master Sheet'!$K$2:$K$1001,_xlfn.AGGREGATE(15,6,(ROW('Row Level Master Sheet'!$K$2:$K$1001)-ROW('Row Level Master Sheet'!$K$2)+1)/('Row Level Master Sheet'!$C$2:$C$1001="Traditional"),ROWS($B$2:B686))),"")</f>
        <v/>
      </c>
    </row>
    <row r="687" spans="1:2" x14ac:dyDescent="0.35">
      <c r="A687" t="str" cm="1">
        <f t="array" ref="A687">IFERROR(INDEX('Row Level Master Sheet'!$K$2:$K$1001,_xlfn.AGGREGATE(15,6,(ROW('Row Level Master Sheet'!$K$2:$K$1001)-ROW('Row Level Master Sheet'!$K$2)+1)/('Row Level Master Sheet'!$C$2:$C$1001="Digital"),ROWS($A$2:A687))),"")</f>
        <v/>
      </c>
      <c r="B687" s="39" t="str" cm="1">
        <f t="array" ref="B687">IFERROR(INDEX('Row Level Master Sheet'!$K$2:$K$1001,_xlfn.AGGREGATE(15,6,(ROW('Row Level Master Sheet'!$K$2:$K$1001)-ROW('Row Level Master Sheet'!$K$2)+1)/('Row Level Master Sheet'!$C$2:$C$1001="Traditional"),ROWS($B$2:B687))),"")</f>
        <v/>
      </c>
    </row>
    <row r="688" spans="1:2" x14ac:dyDescent="0.35">
      <c r="A688" t="str" cm="1">
        <f t="array" ref="A688">IFERROR(INDEX('Row Level Master Sheet'!$K$2:$K$1001,_xlfn.AGGREGATE(15,6,(ROW('Row Level Master Sheet'!$K$2:$K$1001)-ROW('Row Level Master Sheet'!$K$2)+1)/('Row Level Master Sheet'!$C$2:$C$1001="Digital"),ROWS($A$2:A688))),"")</f>
        <v/>
      </c>
      <c r="B688" s="39" t="str" cm="1">
        <f t="array" ref="B688">IFERROR(INDEX('Row Level Master Sheet'!$K$2:$K$1001,_xlfn.AGGREGATE(15,6,(ROW('Row Level Master Sheet'!$K$2:$K$1001)-ROW('Row Level Master Sheet'!$K$2)+1)/('Row Level Master Sheet'!$C$2:$C$1001="Traditional"),ROWS($B$2:B688))),"")</f>
        <v/>
      </c>
    </row>
    <row r="689" spans="1:2" x14ac:dyDescent="0.35">
      <c r="A689" t="str" cm="1">
        <f t="array" ref="A689">IFERROR(INDEX('Row Level Master Sheet'!$K$2:$K$1001,_xlfn.AGGREGATE(15,6,(ROW('Row Level Master Sheet'!$K$2:$K$1001)-ROW('Row Level Master Sheet'!$K$2)+1)/('Row Level Master Sheet'!$C$2:$C$1001="Digital"),ROWS($A$2:A689))),"")</f>
        <v/>
      </c>
      <c r="B689" s="39" t="str" cm="1">
        <f t="array" ref="B689">IFERROR(INDEX('Row Level Master Sheet'!$K$2:$K$1001,_xlfn.AGGREGATE(15,6,(ROW('Row Level Master Sheet'!$K$2:$K$1001)-ROW('Row Level Master Sheet'!$K$2)+1)/('Row Level Master Sheet'!$C$2:$C$1001="Traditional"),ROWS($B$2:B689))),"")</f>
        <v/>
      </c>
    </row>
    <row r="690" spans="1:2" x14ac:dyDescent="0.35">
      <c r="A690" t="str" cm="1">
        <f t="array" ref="A690">IFERROR(INDEX('Row Level Master Sheet'!$K$2:$K$1001,_xlfn.AGGREGATE(15,6,(ROW('Row Level Master Sheet'!$K$2:$K$1001)-ROW('Row Level Master Sheet'!$K$2)+1)/('Row Level Master Sheet'!$C$2:$C$1001="Digital"),ROWS($A$2:A690))),"")</f>
        <v/>
      </c>
      <c r="B690" s="39" t="str" cm="1">
        <f t="array" ref="B690">IFERROR(INDEX('Row Level Master Sheet'!$K$2:$K$1001,_xlfn.AGGREGATE(15,6,(ROW('Row Level Master Sheet'!$K$2:$K$1001)-ROW('Row Level Master Sheet'!$K$2)+1)/('Row Level Master Sheet'!$C$2:$C$1001="Traditional"),ROWS($B$2:B690))),"")</f>
        <v/>
      </c>
    </row>
    <row r="691" spans="1:2" x14ac:dyDescent="0.35">
      <c r="A691" t="str" cm="1">
        <f t="array" ref="A691">IFERROR(INDEX('Row Level Master Sheet'!$K$2:$K$1001,_xlfn.AGGREGATE(15,6,(ROW('Row Level Master Sheet'!$K$2:$K$1001)-ROW('Row Level Master Sheet'!$K$2)+1)/('Row Level Master Sheet'!$C$2:$C$1001="Digital"),ROWS($A$2:A691))),"")</f>
        <v/>
      </c>
      <c r="B691" s="39" t="str" cm="1">
        <f t="array" ref="B691">IFERROR(INDEX('Row Level Master Sheet'!$K$2:$K$1001,_xlfn.AGGREGATE(15,6,(ROW('Row Level Master Sheet'!$K$2:$K$1001)-ROW('Row Level Master Sheet'!$K$2)+1)/('Row Level Master Sheet'!$C$2:$C$1001="Traditional"),ROWS($B$2:B691))),"")</f>
        <v/>
      </c>
    </row>
    <row r="692" spans="1:2" x14ac:dyDescent="0.35">
      <c r="A692" t="str" cm="1">
        <f t="array" ref="A692">IFERROR(INDEX('Row Level Master Sheet'!$K$2:$K$1001,_xlfn.AGGREGATE(15,6,(ROW('Row Level Master Sheet'!$K$2:$K$1001)-ROW('Row Level Master Sheet'!$K$2)+1)/('Row Level Master Sheet'!$C$2:$C$1001="Digital"),ROWS($A$2:A692))),"")</f>
        <v/>
      </c>
      <c r="B692" s="39" t="str" cm="1">
        <f t="array" ref="B692">IFERROR(INDEX('Row Level Master Sheet'!$K$2:$K$1001,_xlfn.AGGREGATE(15,6,(ROW('Row Level Master Sheet'!$K$2:$K$1001)-ROW('Row Level Master Sheet'!$K$2)+1)/('Row Level Master Sheet'!$C$2:$C$1001="Traditional"),ROWS($B$2:B692))),"")</f>
        <v/>
      </c>
    </row>
    <row r="693" spans="1:2" x14ac:dyDescent="0.35">
      <c r="A693" t="str" cm="1">
        <f t="array" ref="A693">IFERROR(INDEX('Row Level Master Sheet'!$K$2:$K$1001,_xlfn.AGGREGATE(15,6,(ROW('Row Level Master Sheet'!$K$2:$K$1001)-ROW('Row Level Master Sheet'!$K$2)+1)/('Row Level Master Sheet'!$C$2:$C$1001="Digital"),ROWS($A$2:A693))),"")</f>
        <v/>
      </c>
      <c r="B693" s="39" t="str" cm="1">
        <f t="array" ref="B693">IFERROR(INDEX('Row Level Master Sheet'!$K$2:$K$1001,_xlfn.AGGREGATE(15,6,(ROW('Row Level Master Sheet'!$K$2:$K$1001)-ROW('Row Level Master Sheet'!$K$2)+1)/('Row Level Master Sheet'!$C$2:$C$1001="Traditional"),ROWS($B$2:B693))),"")</f>
        <v/>
      </c>
    </row>
    <row r="694" spans="1:2" x14ac:dyDescent="0.35">
      <c r="A694" t="str" cm="1">
        <f t="array" ref="A694">IFERROR(INDEX('Row Level Master Sheet'!$K$2:$K$1001,_xlfn.AGGREGATE(15,6,(ROW('Row Level Master Sheet'!$K$2:$K$1001)-ROW('Row Level Master Sheet'!$K$2)+1)/('Row Level Master Sheet'!$C$2:$C$1001="Digital"),ROWS($A$2:A694))),"")</f>
        <v/>
      </c>
      <c r="B694" s="39" t="str" cm="1">
        <f t="array" ref="B694">IFERROR(INDEX('Row Level Master Sheet'!$K$2:$K$1001,_xlfn.AGGREGATE(15,6,(ROW('Row Level Master Sheet'!$K$2:$K$1001)-ROW('Row Level Master Sheet'!$K$2)+1)/('Row Level Master Sheet'!$C$2:$C$1001="Traditional"),ROWS($B$2:B694))),"")</f>
        <v/>
      </c>
    </row>
    <row r="695" spans="1:2" x14ac:dyDescent="0.35">
      <c r="A695" t="str" cm="1">
        <f t="array" ref="A695">IFERROR(INDEX('Row Level Master Sheet'!$K$2:$K$1001,_xlfn.AGGREGATE(15,6,(ROW('Row Level Master Sheet'!$K$2:$K$1001)-ROW('Row Level Master Sheet'!$K$2)+1)/('Row Level Master Sheet'!$C$2:$C$1001="Digital"),ROWS($A$2:A695))),"")</f>
        <v/>
      </c>
      <c r="B695" s="39" t="str" cm="1">
        <f t="array" ref="B695">IFERROR(INDEX('Row Level Master Sheet'!$K$2:$K$1001,_xlfn.AGGREGATE(15,6,(ROW('Row Level Master Sheet'!$K$2:$K$1001)-ROW('Row Level Master Sheet'!$K$2)+1)/('Row Level Master Sheet'!$C$2:$C$1001="Traditional"),ROWS($B$2:B695))),"")</f>
        <v/>
      </c>
    </row>
    <row r="696" spans="1:2" x14ac:dyDescent="0.35">
      <c r="A696" t="str" cm="1">
        <f t="array" ref="A696">IFERROR(INDEX('Row Level Master Sheet'!$K$2:$K$1001,_xlfn.AGGREGATE(15,6,(ROW('Row Level Master Sheet'!$K$2:$K$1001)-ROW('Row Level Master Sheet'!$K$2)+1)/('Row Level Master Sheet'!$C$2:$C$1001="Digital"),ROWS($A$2:A696))),"")</f>
        <v/>
      </c>
      <c r="B696" s="39" t="str" cm="1">
        <f t="array" ref="B696">IFERROR(INDEX('Row Level Master Sheet'!$K$2:$K$1001,_xlfn.AGGREGATE(15,6,(ROW('Row Level Master Sheet'!$K$2:$K$1001)-ROW('Row Level Master Sheet'!$K$2)+1)/('Row Level Master Sheet'!$C$2:$C$1001="Traditional"),ROWS($B$2:B696))),"")</f>
        <v/>
      </c>
    </row>
    <row r="697" spans="1:2" x14ac:dyDescent="0.35">
      <c r="A697" t="str" cm="1">
        <f t="array" ref="A697">IFERROR(INDEX('Row Level Master Sheet'!$K$2:$K$1001,_xlfn.AGGREGATE(15,6,(ROW('Row Level Master Sheet'!$K$2:$K$1001)-ROW('Row Level Master Sheet'!$K$2)+1)/('Row Level Master Sheet'!$C$2:$C$1001="Digital"),ROWS($A$2:A697))),"")</f>
        <v/>
      </c>
      <c r="B697" s="39" t="str" cm="1">
        <f t="array" ref="B697">IFERROR(INDEX('Row Level Master Sheet'!$K$2:$K$1001,_xlfn.AGGREGATE(15,6,(ROW('Row Level Master Sheet'!$K$2:$K$1001)-ROW('Row Level Master Sheet'!$K$2)+1)/('Row Level Master Sheet'!$C$2:$C$1001="Traditional"),ROWS($B$2:B697))),"")</f>
        <v/>
      </c>
    </row>
    <row r="698" spans="1:2" x14ac:dyDescent="0.35">
      <c r="A698" t="str" cm="1">
        <f t="array" ref="A698">IFERROR(INDEX('Row Level Master Sheet'!$K$2:$K$1001,_xlfn.AGGREGATE(15,6,(ROW('Row Level Master Sheet'!$K$2:$K$1001)-ROW('Row Level Master Sheet'!$K$2)+1)/('Row Level Master Sheet'!$C$2:$C$1001="Digital"),ROWS($A$2:A698))),"")</f>
        <v/>
      </c>
      <c r="B698" s="39" t="str" cm="1">
        <f t="array" ref="B698">IFERROR(INDEX('Row Level Master Sheet'!$K$2:$K$1001,_xlfn.AGGREGATE(15,6,(ROW('Row Level Master Sheet'!$K$2:$K$1001)-ROW('Row Level Master Sheet'!$K$2)+1)/('Row Level Master Sheet'!$C$2:$C$1001="Traditional"),ROWS($B$2:B698))),"")</f>
        <v/>
      </c>
    </row>
    <row r="699" spans="1:2" x14ac:dyDescent="0.35">
      <c r="A699" t="str" cm="1">
        <f t="array" ref="A699">IFERROR(INDEX('Row Level Master Sheet'!$K$2:$K$1001,_xlfn.AGGREGATE(15,6,(ROW('Row Level Master Sheet'!$K$2:$K$1001)-ROW('Row Level Master Sheet'!$K$2)+1)/('Row Level Master Sheet'!$C$2:$C$1001="Digital"),ROWS($A$2:A699))),"")</f>
        <v/>
      </c>
      <c r="B699" s="39" t="str" cm="1">
        <f t="array" ref="B699">IFERROR(INDEX('Row Level Master Sheet'!$K$2:$K$1001,_xlfn.AGGREGATE(15,6,(ROW('Row Level Master Sheet'!$K$2:$K$1001)-ROW('Row Level Master Sheet'!$K$2)+1)/('Row Level Master Sheet'!$C$2:$C$1001="Traditional"),ROWS($B$2:B699))),"")</f>
        <v/>
      </c>
    </row>
    <row r="700" spans="1:2" x14ac:dyDescent="0.35">
      <c r="A700" t="str" cm="1">
        <f t="array" ref="A700">IFERROR(INDEX('Row Level Master Sheet'!$K$2:$K$1001,_xlfn.AGGREGATE(15,6,(ROW('Row Level Master Sheet'!$K$2:$K$1001)-ROW('Row Level Master Sheet'!$K$2)+1)/('Row Level Master Sheet'!$C$2:$C$1001="Digital"),ROWS($A$2:A700))),"")</f>
        <v/>
      </c>
      <c r="B700" s="39" t="str" cm="1">
        <f t="array" ref="B700">IFERROR(INDEX('Row Level Master Sheet'!$K$2:$K$1001,_xlfn.AGGREGATE(15,6,(ROW('Row Level Master Sheet'!$K$2:$K$1001)-ROW('Row Level Master Sheet'!$K$2)+1)/('Row Level Master Sheet'!$C$2:$C$1001="Traditional"),ROWS($B$2:B700))),"")</f>
        <v/>
      </c>
    </row>
    <row r="701" spans="1:2" x14ac:dyDescent="0.35">
      <c r="A701" t="str" cm="1">
        <f t="array" ref="A701">IFERROR(INDEX('Row Level Master Sheet'!$K$2:$K$1001,_xlfn.AGGREGATE(15,6,(ROW('Row Level Master Sheet'!$K$2:$K$1001)-ROW('Row Level Master Sheet'!$K$2)+1)/('Row Level Master Sheet'!$C$2:$C$1001="Digital"),ROWS($A$2:A701))),"")</f>
        <v/>
      </c>
      <c r="B701" s="39" t="str" cm="1">
        <f t="array" ref="B701">IFERROR(INDEX('Row Level Master Sheet'!$K$2:$K$1001,_xlfn.AGGREGATE(15,6,(ROW('Row Level Master Sheet'!$K$2:$K$1001)-ROW('Row Level Master Sheet'!$K$2)+1)/('Row Level Master Sheet'!$C$2:$C$1001="Traditional"),ROWS($B$2:B701))),"")</f>
        <v/>
      </c>
    </row>
    <row r="702" spans="1:2" x14ac:dyDescent="0.35">
      <c r="A702" t="str" cm="1">
        <f t="array" ref="A702">IFERROR(INDEX('Row Level Master Sheet'!$K$2:$K$1001,_xlfn.AGGREGATE(15,6,(ROW('Row Level Master Sheet'!$K$2:$K$1001)-ROW('Row Level Master Sheet'!$K$2)+1)/('Row Level Master Sheet'!$C$2:$C$1001="Digital"),ROWS($A$2:A702))),"")</f>
        <v/>
      </c>
      <c r="B702" s="39" t="str" cm="1">
        <f t="array" ref="B702">IFERROR(INDEX('Row Level Master Sheet'!$K$2:$K$1001,_xlfn.AGGREGATE(15,6,(ROW('Row Level Master Sheet'!$K$2:$K$1001)-ROW('Row Level Master Sheet'!$K$2)+1)/('Row Level Master Sheet'!$C$2:$C$1001="Traditional"),ROWS($B$2:B702))),"")</f>
        <v/>
      </c>
    </row>
    <row r="703" spans="1:2" x14ac:dyDescent="0.35">
      <c r="A703" t="str" cm="1">
        <f t="array" ref="A703">IFERROR(INDEX('Row Level Master Sheet'!$K$2:$K$1001,_xlfn.AGGREGATE(15,6,(ROW('Row Level Master Sheet'!$K$2:$K$1001)-ROW('Row Level Master Sheet'!$K$2)+1)/('Row Level Master Sheet'!$C$2:$C$1001="Digital"),ROWS($A$2:A703))),"")</f>
        <v/>
      </c>
      <c r="B703" s="39" t="str" cm="1">
        <f t="array" ref="B703">IFERROR(INDEX('Row Level Master Sheet'!$K$2:$K$1001,_xlfn.AGGREGATE(15,6,(ROW('Row Level Master Sheet'!$K$2:$K$1001)-ROW('Row Level Master Sheet'!$K$2)+1)/('Row Level Master Sheet'!$C$2:$C$1001="Traditional"),ROWS($B$2:B703))),"")</f>
        <v/>
      </c>
    </row>
    <row r="704" spans="1:2" x14ac:dyDescent="0.35">
      <c r="A704" t="str" cm="1">
        <f t="array" ref="A704">IFERROR(INDEX('Row Level Master Sheet'!$K$2:$K$1001,_xlfn.AGGREGATE(15,6,(ROW('Row Level Master Sheet'!$K$2:$K$1001)-ROW('Row Level Master Sheet'!$K$2)+1)/('Row Level Master Sheet'!$C$2:$C$1001="Digital"),ROWS($A$2:A704))),"")</f>
        <v/>
      </c>
      <c r="B704" s="39" t="str" cm="1">
        <f t="array" ref="B704">IFERROR(INDEX('Row Level Master Sheet'!$K$2:$K$1001,_xlfn.AGGREGATE(15,6,(ROW('Row Level Master Sheet'!$K$2:$K$1001)-ROW('Row Level Master Sheet'!$K$2)+1)/('Row Level Master Sheet'!$C$2:$C$1001="Traditional"),ROWS($B$2:B704))),"")</f>
        <v/>
      </c>
    </row>
    <row r="705" spans="1:2" x14ac:dyDescent="0.35">
      <c r="A705" t="str" cm="1">
        <f t="array" ref="A705">IFERROR(INDEX('Row Level Master Sheet'!$K$2:$K$1001,_xlfn.AGGREGATE(15,6,(ROW('Row Level Master Sheet'!$K$2:$K$1001)-ROW('Row Level Master Sheet'!$K$2)+1)/('Row Level Master Sheet'!$C$2:$C$1001="Digital"),ROWS($A$2:A705))),"")</f>
        <v/>
      </c>
      <c r="B705" s="39" t="str" cm="1">
        <f t="array" ref="B705">IFERROR(INDEX('Row Level Master Sheet'!$K$2:$K$1001,_xlfn.AGGREGATE(15,6,(ROW('Row Level Master Sheet'!$K$2:$K$1001)-ROW('Row Level Master Sheet'!$K$2)+1)/('Row Level Master Sheet'!$C$2:$C$1001="Traditional"),ROWS($B$2:B705))),"")</f>
        <v/>
      </c>
    </row>
    <row r="706" spans="1:2" x14ac:dyDescent="0.35">
      <c r="A706" t="str" cm="1">
        <f t="array" ref="A706">IFERROR(INDEX('Row Level Master Sheet'!$K$2:$K$1001,_xlfn.AGGREGATE(15,6,(ROW('Row Level Master Sheet'!$K$2:$K$1001)-ROW('Row Level Master Sheet'!$K$2)+1)/('Row Level Master Sheet'!$C$2:$C$1001="Digital"),ROWS($A$2:A706))),"")</f>
        <v/>
      </c>
      <c r="B706" s="39" t="str" cm="1">
        <f t="array" ref="B706">IFERROR(INDEX('Row Level Master Sheet'!$K$2:$K$1001,_xlfn.AGGREGATE(15,6,(ROW('Row Level Master Sheet'!$K$2:$K$1001)-ROW('Row Level Master Sheet'!$K$2)+1)/('Row Level Master Sheet'!$C$2:$C$1001="Traditional"),ROWS($B$2:B706))),"")</f>
        <v/>
      </c>
    </row>
    <row r="707" spans="1:2" x14ac:dyDescent="0.35">
      <c r="A707" t="str" cm="1">
        <f t="array" ref="A707">IFERROR(INDEX('Row Level Master Sheet'!$K$2:$K$1001,_xlfn.AGGREGATE(15,6,(ROW('Row Level Master Sheet'!$K$2:$K$1001)-ROW('Row Level Master Sheet'!$K$2)+1)/('Row Level Master Sheet'!$C$2:$C$1001="Digital"),ROWS($A$2:A707))),"")</f>
        <v/>
      </c>
      <c r="B707" s="39" t="str" cm="1">
        <f t="array" ref="B707">IFERROR(INDEX('Row Level Master Sheet'!$K$2:$K$1001,_xlfn.AGGREGATE(15,6,(ROW('Row Level Master Sheet'!$K$2:$K$1001)-ROW('Row Level Master Sheet'!$K$2)+1)/('Row Level Master Sheet'!$C$2:$C$1001="Traditional"),ROWS($B$2:B707))),"")</f>
        <v/>
      </c>
    </row>
    <row r="708" spans="1:2" x14ac:dyDescent="0.35">
      <c r="A708" t="str" cm="1">
        <f t="array" ref="A708">IFERROR(INDEX('Row Level Master Sheet'!$K$2:$K$1001,_xlfn.AGGREGATE(15,6,(ROW('Row Level Master Sheet'!$K$2:$K$1001)-ROW('Row Level Master Sheet'!$K$2)+1)/('Row Level Master Sheet'!$C$2:$C$1001="Digital"),ROWS($A$2:A708))),"")</f>
        <v/>
      </c>
      <c r="B708" s="39" t="str" cm="1">
        <f t="array" ref="B708">IFERROR(INDEX('Row Level Master Sheet'!$K$2:$K$1001,_xlfn.AGGREGATE(15,6,(ROW('Row Level Master Sheet'!$K$2:$K$1001)-ROW('Row Level Master Sheet'!$K$2)+1)/('Row Level Master Sheet'!$C$2:$C$1001="Traditional"),ROWS($B$2:B708))),"")</f>
        <v/>
      </c>
    </row>
    <row r="709" spans="1:2" x14ac:dyDescent="0.35">
      <c r="A709" t="str" cm="1">
        <f t="array" ref="A709">IFERROR(INDEX('Row Level Master Sheet'!$K$2:$K$1001,_xlfn.AGGREGATE(15,6,(ROW('Row Level Master Sheet'!$K$2:$K$1001)-ROW('Row Level Master Sheet'!$K$2)+1)/('Row Level Master Sheet'!$C$2:$C$1001="Digital"),ROWS($A$2:A709))),"")</f>
        <v/>
      </c>
      <c r="B709" s="39" t="str" cm="1">
        <f t="array" ref="B709">IFERROR(INDEX('Row Level Master Sheet'!$K$2:$K$1001,_xlfn.AGGREGATE(15,6,(ROW('Row Level Master Sheet'!$K$2:$K$1001)-ROW('Row Level Master Sheet'!$K$2)+1)/('Row Level Master Sheet'!$C$2:$C$1001="Traditional"),ROWS($B$2:B709))),"")</f>
        <v/>
      </c>
    </row>
    <row r="710" spans="1:2" x14ac:dyDescent="0.35">
      <c r="A710" t="str" cm="1">
        <f t="array" ref="A710">IFERROR(INDEX('Row Level Master Sheet'!$K$2:$K$1001,_xlfn.AGGREGATE(15,6,(ROW('Row Level Master Sheet'!$K$2:$K$1001)-ROW('Row Level Master Sheet'!$K$2)+1)/('Row Level Master Sheet'!$C$2:$C$1001="Digital"),ROWS($A$2:A710))),"")</f>
        <v/>
      </c>
      <c r="B710" s="39" t="str" cm="1">
        <f t="array" ref="B710">IFERROR(INDEX('Row Level Master Sheet'!$K$2:$K$1001,_xlfn.AGGREGATE(15,6,(ROW('Row Level Master Sheet'!$K$2:$K$1001)-ROW('Row Level Master Sheet'!$K$2)+1)/('Row Level Master Sheet'!$C$2:$C$1001="Traditional"),ROWS($B$2:B710))),"")</f>
        <v/>
      </c>
    </row>
    <row r="711" spans="1:2" x14ac:dyDescent="0.35">
      <c r="A711" t="str" cm="1">
        <f t="array" ref="A711">IFERROR(INDEX('Row Level Master Sheet'!$K$2:$K$1001,_xlfn.AGGREGATE(15,6,(ROW('Row Level Master Sheet'!$K$2:$K$1001)-ROW('Row Level Master Sheet'!$K$2)+1)/('Row Level Master Sheet'!$C$2:$C$1001="Digital"),ROWS($A$2:A711))),"")</f>
        <v/>
      </c>
      <c r="B711" s="39" t="str" cm="1">
        <f t="array" ref="B711">IFERROR(INDEX('Row Level Master Sheet'!$K$2:$K$1001,_xlfn.AGGREGATE(15,6,(ROW('Row Level Master Sheet'!$K$2:$K$1001)-ROW('Row Level Master Sheet'!$K$2)+1)/('Row Level Master Sheet'!$C$2:$C$1001="Traditional"),ROWS($B$2:B711))),"")</f>
        <v/>
      </c>
    </row>
    <row r="712" spans="1:2" x14ac:dyDescent="0.35">
      <c r="A712" t="str" cm="1">
        <f t="array" ref="A712">IFERROR(INDEX('Row Level Master Sheet'!$K$2:$K$1001,_xlfn.AGGREGATE(15,6,(ROW('Row Level Master Sheet'!$K$2:$K$1001)-ROW('Row Level Master Sheet'!$K$2)+1)/('Row Level Master Sheet'!$C$2:$C$1001="Digital"),ROWS($A$2:A712))),"")</f>
        <v/>
      </c>
      <c r="B712" s="39" t="str" cm="1">
        <f t="array" ref="B712">IFERROR(INDEX('Row Level Master Sheet'!$K$2:$K$1001,_xlfn.AGGREGATE(15,6,(ROW('Row Level Master Sheet'!$K$2:$K$1001)-ROW('Row Level Master Sheet'!$K$2)+1)/('Row Level Master Sheet'!$C$2:$C$1001="Traditional"),ROWS($B$2:B712))),"")</f>
        <v/>
      </c>
    </row>
    <row r="713" spans="1:2" x14ac:dyDescent="0.35">
      <c r="A713" t="str" cm="1">
        <f t="array" ref="A713">IFERROR(INDEX('Row Level Master Sheet'!$K$2:$K$1001,_xlfn.AGGREGATE(15,6,(ROW('Row Level Master Sheet'!$K$2:$K$1001)-ROW('Row Level Master Sheet'!$K$2)+1)/('Row Level Master Sheet'!$C$2:$C$1001="Digital"),ROWS($A$2:A713))),"")</f>
        <v/>
      </c>
      <c r="B713" s="39" t="str" cm="1">
        <f t="array" ref="B713">IFERROR(INDEX('Row Level Master Sheet'!$K$2:$K$1001,_xlfn.AGGREGATE(15,6,(ROW('Row Level Master Sheet'!$K$2:$K$1001)-ROW('Row Level Master Sheet'!$K$2)+1)/('Row Level Master Sheet'!$C$2:$C$1001="Traditional"),ROWS($B$2:B713))),"")</f>
        <v/>
      </c>
    </row>
    <row r="714" spans="1:2" x14ac:dyDescent="0.35">
      <c r="A714" t="str" cm="1">
        <f t="array" ref="A714">IFERROR(INDEX('Row Level Master Sheet'!$K$2:$K$1001,_xlfn.AGGREGATE(15,6,(ROW('Row Level Master Sheet'!$K$2:$K$1001)-ROW('Row Level Master Sheet'!$K$2)+1)/('Row Level Master Sheet'!$C$2:$C$1001="Digital"),ROWS($A$2:A714))),"")</f>
        <v/>
      </c>
      <c r="B714" s="39" t="str" cm="1">
        <f t="array" ref="B714">IFERROR(INDEX('Row Level Master Sheet'!$K$2:$K$1001,_xlfn.AGGREGATE(15,6,(ROW('Row Level Master Sheet'!$K$2:$K$1001)-ROW('Row Level Master Sheet'!$K$2)+1)/('Row Level Master Sheet'!$C$2:$C$1001="Traditional"),ROWS($B$2:B714))),"")</f>
        <v/>
      </c>
    </row>
    <row r="715" spans="1:2" x14ac:dyDescent="0.35">
      <c r="A715" t="str" cm="1">
        <f t="array" ref="A715">IFERROR(INDEX('Row Level Master Sheet'!$K$2:$K$1001,_xlfn.AGGREGATE(15,6,(ROW('Row Level Master Sheet'!$K$2:$K$1001)-ROW('Row Level Master Sheet'!$K$2)+1)/('Row Level Master Sheet'!$C$2:$C$1001="Digital"),ROWS($A$2:A715))),"")</f>
        <v/>
      </c>
      <c r="B715" s="39" t="str" cm="1">
        <f t="array" ref="B715">IFERROR(INDEX('Row Level Master Sheet'!$K$2:$K$1001,_xlfn.AGGREGATE(15,6,(ROW('Row Level Master Sheet'!$K$2:$K$1001)-ROW('Row Level Master Sheet'!$K$2)+1)/('Row Level Master Sheet'!$C$2:$C$1001="Traditional"),ROWS($B$2:B715))),"")</f>
        <v/>
      </c>
    </row>
    <row r="716" spans="1:2" x14ac:dyDescent="0.35">
      <c r="A716" t="str" cm="1">
        <f t="array" ref="A716">IFERROR(INDEX('Row Level Master Sheet'!$K$2:$K$1001,_xlfn.AGGREGATE(15,6,(ROW('Row Level Master Sheet'!$K$2:$K$1001)-ROW('Row Level Master Sheet'!$K$2)+1)/('Row Level Master Sheet'!$C$2:$C$1001="Digital"),ROWS($A$2:A716))),"")</f>
        <v/>
      </c>
      <c r="B716" s="39" t="str" cm="1">
        <f t="array" ref="B716">IFERROR(INDEX('Row Level Master Sheet'!$K$2:$K$1001,_xlfn.AGGREGATE(15,6,(ROW('Row Level Master Sheet'!$K$2:$K$1001)-ROW('Row Level Master Sheet'!$K$2)+1)/('Row Level Master Sheet'!$C$2:$C$1001="Traditional"),ROWS($B$2:B716))),"")</f>
        <v/>
      </c>
    </row>
    <row r="717" spans="1:2" x14ac:dyDescent="0.35">
      <c r="A717" t="str" cm="1">
        <f t="array" ref="A717">IFERROR(INDEX('Row Level Master Sheet'!$K$2:$K$1001,_xlfn.AGGREGATE(15,6,(ROW('Row Level Master Sheet'!$K$2:$K$1001)-ROW('Row Level Master Sheet'!$K$2)+1)/('Row Level Master Sheet'!$C$2:$C$1001="Digital"),ROWS($A$2:A717))),"")</f>
        <v/>
      </c>
      <c r="B717" s="39" t="str" cm="1">
        <f t="array" ref="B717">IFERROR(INDEX('Row Level Master Sheet'!$K$2:$K$1001,_xlfn.AGGREGATE(15,6,(ROW('Row Level Master Sheet'!$K$2:$K$1001)-ROW('Row Level Master Sheet'!$K$2)+1)/('Row Level Master Sheet'!$C$2:$C$1001="Traditional"),ROWS($B$2:B717))),"")</f>
        <v/>
      </c>
    </row>
    <row r="718" spans="1:2" x14ac:dyDescent="0.35">
      <c r="A718" t="str" cm="1">
        <f t="array" ref="A718">IFERROR(INDEX('Row Level Master Sheet'!$K$2:$K$1001,_xlfn.AGGREGATE(15,6,(ROW('Row Level Master Sheet'!$K$2:$K$1001)-ROW('Row Level Master Sheet'!$K$2)+1)/('Row Level Master Sheet'!$C$2:$C$1001="Digital"),ROWS($A$2:A718))),"")</f>
        <v/>
      </c>
      <c r="B718" s="39" t="str" cm="1">
        <f t="array" ref="B718">IFERROR(INDEX('Row Level Master Sheet'!$K$2:$K$1001,_xlfn.AGGREGATE(15,6,(ROW('Row Level Master Sheet'!$K$2:$K$1001)-ROW('Row Level Master Sheet'!$K$2)+1)/('Row Level Master Sheet'!$C$2:$C$1001="Traditional"),ROWS($B$2:B718))),"")</f>
        <v/>
      </c>
    </row>
    <row r="719" spans="1:2" x14ac:dyDescent="0.35">
      <c r="A719" t="str" cm="1">
        <f t="array" ref="A719">IFERROR(INDEX('Row Level Master Sheet'!$K$2:$K$1001,_xlfn.AGGREGATE(15,6,(ROW('Row Level Master Sheet'!$K$2:$K$1001)-ROW('Row Level Master Sheet'!$K$2)+1)/('Row Level Master Sheet'!$C$2:$C$1001="Digital"),ROWS($A$2:A719))),"")</f>
        <v/>
      </c>
      <c r="B719" s="39" t="str" cm="1">
        <f t="array" ref="B719">IFERROR(INDEX('Row Level Master Sheet'!$K$2:$K$1001,_xlfn.AGGREGATE(15,6,(ROW('Row Level Master Sheet'!$K$2:$K$1001)-ROW('Row Level Master Sheet'!$K$2)+1)/('Row Level Master Sheet'!$C$2:$C$1001="Traditional"),ROWS($B$2:B719))),"")</f>
        <v/>
      </c>
    </row>
    <row r="720" spans="1:2" x14ac:dyDescent="0.35">
      <c r="A720" t="str" cm="1">
        <f t="array" ref="A720">IFERROR(INDEX('Row Level Master Sheet'!$K$2:$K$1001,_xlfn.AGGREGATE(15,6,(ROW('Row Level Master Sheet'!$K$2:$K$1001)-ROW('Row Level Master Sheet'!$K$2)+1)/('Row Level Master Sheet'!$C$2:$C$1001="Digital"),ROWS($A$2:A720))),"")</f>
        <v/>
      </c>
      <c r="B720" s="39" t="str" cm="1">
        <f t="array" ref="B720">IFERROR(INDEX('Row Level Master Sheet'!$K$2:$K$1001,_xlfn.AGGREGATE(15,6,(ROW('Row Level Master Sheet'!$K$2:$K$1001)-ROW('Row Level Master Sheet'!$K$2)+1)/('Row Level Master Sheet'!$C$2:$C$1001="Traditional"),ROWS($B$2:B720))),"")</f>
        <v/>
      </c>
    </row>
    <row r="721" spans="1:2" x14ac:dyDescent="0.35">
      <c r="A721" t="str" cm="1">
        <f t="array" ref="A721">IFERROR(INDEX('Row Level Master Sheet'!$K$2:$K$1001,_xlfn.AGGREGATE(15,6,(ROW('Row Level Master Sheet'!$K$2:$K$1001)-ROW('Row Level Master Sheet'!$K$2)+1)/('Row Level Master Sheet'!$C$2:$C$1001="Digital"),ROWS($A$2:A721))),"")</f>
        <v/>
      </c>
      <c r="B721" s="39" t="str" cm="1">
        <f t="array" ref="B721">IFERROR(INDEX('Row Level Master Sheet'!$K$2:$K$1001,_xlfn.AGGREGATE(15,6,(ROW('Row Level Master Sheet'!$K$2:$K$1001)-ROW('Row Level Master Sheet'!$K$2)+1)/('Row Level Master Sheet'!$C$2:$C$1001="Traditional"),ROWS($B$2:B721))),"")</f>
        <v/>
      </c>
    </row>
    <row r="722" spans="1:2" x14ac:dyDescent="0.35">
      <c r="A722" t="str" cm="1">
        <f t="array" ref="A722">IFERROR(INDEX('Row Level Master Sheet'!$K$2:$K$1001,_xlfn.AGGREGATE(15,6,(ROW('Row Level Master Sheet'!$K$2:$K$1001)-ROW('Row Level Master Sheet'!$K$2)+1)/('Row Level Master Sheet'!$C$2:$C$1001="Digital"),ROWS($A$2:A722))),"")</f>
        <v/>
      </c>
      <c r="B722" s="39" t="str" cm="1">
        <f t="array" ref="B722">IFERROR(INDEX('Row Level Master Sheet'!$K$2:$K$1001,_xlfn.AGGREGATE(15,6,(ROW('Row Level Master Sheet'!$K$2:$K$1001)-ROW('Row Level Master Sheet'!$K$2)+1)/('Row Level Master Sheet'!$C$2:$C$1001="Traditional"),ROWS($B$2:B722))),"")</f>
        <v/>
      </c>
    </row>
    <row r="723" spans="1:2" x14ac:dyDescent="0.35">
      <c r="A723" t="str" cm="1">
        <f t="array" ref="A723">IFERROR(INDEX('Row Level Master Sheet'!$K$2:$K$1001,_xlfn.AGGREGATE(15,6,(ROW('Row Level Master Sheet'!$K$2:$K$1001)-ROW('Row Level Master Sheet'!$K$2)+1)/('Row Level Master Sheet'!$C$2:$C$1001="Digital"),ROWS($A$2:A723))),"")</f>
        <v/>
      </c>
      <c r="B723" s="39" t="str" cm="1">
        <f t="array" ref="B723">IFERROR(INDEX('Row Level Master Sheet'!$K$2:$K$1001,_xlfn.AGGREGATE(15,6,(ROW('Row Level Master Sheet'!$K$2:$K$1001)-ROW('Row Level Master Sheet'!$K$2)+1)/('Row Level Master Sheet'!$C$2:$C$1001="Traditional"),ROWS($B$2:B723))),"")</f>
        <v/>
      </c>
    </row>
    <row r="724" spans="1:2" x14ac:dyDescent="0.35">
      <c r="A724" t="str" cm="1">
        <f t="array" ref="A724">IFERROR(INDEX('Row Level Master Sheet'!$K$2:$K$1001,_xlfn.AGGREGATE(15,6,(ROW('Row Level Master Sheet'!$K$2:$K$1001)-ROW('Row Level Master Sheet'!$K$2)+1)/('Row Level Master Sheet'!$C$2:$C$1001="Digital"),ROWS($A$2:A724))),"")</f>
        <v/>
      </c>
      <c r="B724" s="39" t="str" cm="1">
        <f t="array" ref="B724">IFERROR(INDEX('Row Level Master Sheet'!$K$2:$K$1001,_xlfn.AGGREGATE(15,6,(ROW('Row Level Master Sheet'!$K$2:$K$1001)-ROW('Row Level Master Sheet'!$K$2)+1)/('Row Level Master Sheet'!$C$2:$C$1001="Traditional"),ROWS($B$2:B724))),"")</f>
        <v/>
      </c>
    </row>
    <row r="725" spans="1:2" x14ac:dyDescent="0.35">
      <c r="A725" t="str" cm="1">
        <f t="array" ref="A725">IFERROR(INDEX('Row Level Master Sheet'!$K$2:$K$1001,_xlfn.AGGREGATE(15,6,(ROW('Row Level Master Sheet'!$K$2:$K$1001)-ROW('Row Level Master Sheet'!$K$2)+1)/('Row Level Master Sheet'!$C$2:$C$1001="Digital"),ROWS($A$2:A725))),"")</f>
        <v/>
      </c>
      <c r="B725" s="39" t="str" cm="1">
        <f t="array" ref="B725">IFERROR(INDEX('Row Level Master Sheet'!$K$2:$K$1001,_xlfn.AGGREGATE(15,6,(ROW('Row Level Master Sheet'!$K$2:$K$1001)-ROW('Row Level Master Sheet'!$K$2)+1)/('Row Level Master Sheet'!$C$2:$C$1001="Traditional"),ROWS($B$2:B725))),"")</f>
        <v/>
      </c>
    </row>
    <row r="726" spans="1:2" x14ac:dyDescent="0.35">
      <c r="A726" t="str" cm="1">
        <f t="array" ref="A726">IFERROR(INDEX('Row Level Master Sheet'!$K$2:$K$1001,_xlfn.AGGREGATE(15,6,(ROW('Row Level Master Sheet'!$K$2:$K$1001)-ROW('Row Level Master Sheet'!$K$2)+1)/('Row Level Master Sheet'!$C$2:$C$1001="Digital"),ROWS($A$2:A726))),"")</f>
        <v/>
      </c>
      <c r="B726" s="39" t="str" cm="1">
        <f t="array" ref="B726">IFERROR(INDEX('Row Level Master Sheet'!$K$2:$K$1001,_xlfn.AGGREGATE(15,6,(ROW('Row Level Master Sheet'!$K$2:$K$1001)-ROW('Row Level Master Sheet'!$K$2)+1)/('Row Level Master Sheet'!$C$2:$C$1001="Traditional"),ROWS($B$2:B726))),"")</f>
        <v/>
      </c>
    </row>
    <row r="727" spans="1:2" x14ac:dyDescent="0.35">
      <c r="A727" t="str" cm="1">
        <f t="array" ref="A727">IFERROR(INDEX('Row Level Master Sheet'!$K$2:$K$1001,_xlfn.AGGREGATE(15,6,(ROW('Row Level Master Sheet'!$K$2:$K$1001)-ROW('Row Level Master Sheet'!$K$2)+1)/('Row Level Master Sheet'!$C$2:$C$1001="Digital"),ROWS($A$2:A727))),"")</f>
        <v/>
      </c>
      <c r="B727" s="39" t="str" cm="1">
        <f t="array" ref="B727">IFERROR(INDEX('Row Level Master Sheet'!$K$2:$K$1001,_xlfn.AGGREGATE(15,6,(ROW('Row Level Master Sheet'!$K$2:$K$1001)-ROW('Row Level Master Sheet'!$K$2)+1)/('Row Level Master Sheet'!$C$2:$C$1001="Traditional"),ROWS($B$2:B727))),"")</f>
        <v/>
      </c>
    </row>
    <row r="728" spans="1:2" x14ac:dyDescent="0.35">
      <c r="A728" t="str" cm="1">
        <f t="array" ref="A728">IFERROR(INDEX('Row Level Master Sheet'!$K$2:$K$1001,_xlfn.AGGREGATE(15,6,(ROW('Row Level Master Sheet'!$K$2:$K$1001)-ROW('Row Level Master Sheet'!$K$2)+1)/('Row Level Master Sheet'!$C$2:$C$1001="Digital"),ROWS($A$2:A728))),"")</f>
        <v/>
      </c>
      <c r="B728" s="39" t="str" cm="1">
        <f t="array" ref="B728">IFERROR(INDEX('Row Level Master Sheet'!$K$2:$K$1001,_xlfn.AGGREGATE(15,6,(ROW('Row Level Master Sheet'!$K$2:$K$1001)-ROW('Row Level Master Sheet'!$K$2)+1)/('Row Level Master Sheet'!$C$2:$C$1001="Traditional"),ROWS($B$2:B728))),"")</f>
        <v/>
      </c>
    </row>
    <row r="729" spans="1:2" x14ac:dyDescent="0.35">
      <c r="A729" t="str" cm="1">
        <f t="array" ref="A729">IFERROR(INDEX('Row Level Master Sheet'!$K$2:$K$1001,_xlfn.AGGREGATE(15,6,(ROW('Row Level Master Sheet'!$K$2:$K$1001)-ROW('Row Level Master Sheet'!$K$2)+1)/('Row Level Master Sheet'!$C$2:$C$1001="Digital"),ROWS($A$2:A729))),"")</f>
        <v/>
      </c>
      <c r="B729" s="39" t="str" cm="1">
        <f t="array" ref="B729">IFERROR(INDEX('Row Level Master Sheet'!$K$2:$K$1001,_xlfn.AGGREGATE(15,6,(ROW('Row Level Master Sheet'!$K$2:$K$1001)-ROW('Row Level Master Sheet'!$K$2)+1)/('Row Level Master Sheet'!$C$2:$C$1001="Traditional"),ROWS($B$2:B729))),"")</f>
        <v/>
      </c>
    </row>
    <row r="730" spans="1:2" x14ac:dyDescent="0.35">
      <c r="A730" t="str" cm="1">
        <f t="array" ref="A730">IFERROR(INDEX('Row Level Master Sheet'!$K$2:$K$1001,_xlfn.AGGREGATE(15,6,(ROW('Row Level Master Sheet'!$K$2:$K$1001)-ROW('Row Level Master Sheet'!$K$2)+1)/('Row Level Master Sheet'!$C$2:$C$1001="Digital"),ROWS($A$2:A730))),"")</f>
        <v/>
      </c>
      <c r="B730" s="39" t="str" cm="1">
        <f t="array" ref="B730">IFERROR(INDEX('Row Level Master Sheet'!$K$2:$K$1001,_xlfn.AGGREGATE(15,6,(ROW('Row Level Master Sheet'!$K$2:$K$1001)-ROW('Row Level Master Sheet'!$K$2)+1)/('Row Level Master Sheet'!$C$2:$C$1001="Traditional"),ROWS($B$2:B730))),"")</f>
        <v/>
      </c>
    </row>
    <row r="731" spans="1:2" x14ac:dyDescent="0.35">
      <c r="A731" t="str" cm="1">
        <f t="array" ref="A731">IFERROR(INDEX('Row Level Master Sheet'!$K$2:$K$1001,_xlfn.AGGREGATE(15,6,(ROW('Row Level Master Sheet'!$K$2:$K$1001)-ROW('Row Level Master Sheet'!$K$2)+1)/('Row Level Master Sheet'!$C$2:$C$1001="Digital"),ROWS($A$2:A731))),"")</f>
        <v/>
      </c>
      <c r="B731" s="39" t="str" cm="1">
        <f t="array" ref="B731">IFERROR(INDEX('Row Level Master Sheet'!$K$2:$K$1001,_xlfn.AGGREGATE(15,6,(ROW('Row Level Master Sheet'!$K$2:$K$1001)-ROW('Row Level Master Sheet'!$K$2)+1)/('Row Level Master Sheet'!$C$2:$C$1001="Traditional"),ROWS($B$2:B731))),"")</f>
        <v/>
      </c>
    </row>
    <row r="732" spans="1:2" x14ac:dyDescent="0.35">
      <c r="A732" t="str" cm="1">
        <f t="array" ref="A732">IFERROR(INDEX('Row Level Master Sheet'!$K$2:$K$1001,_xlfn.AGGREGATE(15,6,(ROW('Row Level Master Sheet'!$K$2:$K$1001)-ROW('Row Level Master Sheet'!$K$2)+1)/('Row Level Master Sheet'!$C$2:$C$1001="Digital"),ROWS($A$2:A732))),"")</f>
        <v/>
      </c>
      <c r="B732" s="39" t="str" cm="1">
        <f t="array" ref="B732">IFERROR(INDEX('Row Level Master Sheet'!$K$2:$K$1001,_xlfn.AGGREGATE(15,6,(ROW('Row Level Master Sheet'!$K$2:$K$1001)-ROW('Row Level Master Sheet'!$K$2)+1)/('Row Level Master Sheet'!$C$2:$C$1001="Traditional"),ROWS($B$2:B732))),"")</f>
        <v/>
      </c>
    </row>
    <row r="733" spans="1:2" x14ac:dyDescent="0.35">
      <c r="A733" t="str" cm="1">
        <f t="array" ref="A733">IFERROR(INDEX('Row Level Master Sheet'!$K$2:$K$1001,_xlfn.AGGREGATE(15,6,(ROW('Row Level Master Sheet'!$K$2:$K$1001)-ROW('Row Level Master Sheet'!$K$2)+1)/('Row Level Master Sheet'!$C$2:$C$1001="Digital"),ROWS($A$2:A733))),"")</f>
        <v/>
      </c>
      <c r="B733" s="39" t="str" cm="1">
        <f t="array" ref="B733">IFERROR(INDEX('Row Level Master Sheet'!$K$2:$K$1001,_xlfn.AGGREGATE(15,6,(ROW('Row Level Master Sheet'!$K$2:$K$1001)-ROW('Row Level Master Sheet'!$K$2)+1)/('Row Level Master Sheet'!$C$2:$C$1001="Traditional"),ROWS($B$2:B733))),"")</f>
        <v/>
      </c>
    </row>
    <row r="734" spans="1:2" x14ac:dyDescent="0.35">
      <c r="A734" t="str" cm="1">
        <f t="array" ref="A734">IFERROR(INDEX('Row Level Master Sheet'!$K$2:$K$1001,_xlfn.AGGREGATE(15,6,(ROW('Row Level Master Sheet'!$K$2:$K$1001)-ROW('Row Level Master Sheet'!$K$2)+1)/('Row Level Master Sheet'!$C$2:$C$1001="Digital"),ROWS($A$2:A734))),"")</f>
        <v/>
      </c>
      <c r="B734" s="39" t="str" cm="1">
        <f t="array" ref="B734">IFERROR(INDEX('Row Level Master Sheet'!$K$2:$K$1001,_xlfn.AGGREGATE(15,6,(ROW('Row Level Master Sheet'!$K$2:$K$1001)-ROW('Row Level Master Sheet'!$K$2)+1)/('Row Level Master Sheet'!$C$2:$C$1001="Traditional"),ROWS($B$2:B734))),"")</f>
        <v/>
      </c>
    </row>
    <row r="735" spans="1:2" x14ac:dyDescent="0.35">
      <c r="A735" t="str" cm="1">
        <f t="array" ref="A735">IFERROR(INDEX('Row Level Master Sheet'!$K$2:$K$1001,_xlfn.AGGREGATE(15,6,(ROW('Row Level Master Sheet'!$K$2:$K$1001)-ROW('Row Level Master Sheet'!$K$2)+1)/('Row Level Master Sheet'!$C$2:$C$1001="Digital"),ROWS($A$2:A735))),"")</f>
        <v/>
      </c>
      <c r="B735" s="39" t="str" cm="1">
        <f t="array" ref="B735">IFERROR(INDEX('Row Level Master Sheet'!$K$2:$K$1001,_xlfn.AGGREGATE(15,6,(ROW('Row Level Master Sheet'!$K$2:$K$1001)-ROW('Row Level Master Sheet'!$K$2)+1)/('Row Level Master Sheet'!$C$2:$C$1001="Traditional"),ROWS($B$2:B735))),"")</f>
        <v/>
      </c>
    </row>
    <row r="736" spans="1:2" x14ac:dyDescent="0.35">
      <c r="A736" t="str" cm="1">
        <f t="array" ref="A736">IFERROR(INDEX('Row Level Master Sheet'!$K$2:$K$1001,_xlfn.AGGREGATE(15,6,(ROW('Row Level Master Sheet'!$K$2:$K$1001)-ROW('Row Level Master Sheet'!$K$2)+1)/('Row Level Master Sheet'!$C$2:$C$1001="Digital"),ROWS($A$2:A736))),"")</f>
        <v/>
      </c>
      <c r="B736" s="39" t="str" cm="1">
        <f t="array" ref="B736">IFERROR(INDEX('Row Level Master Sheet'!$K$2:$K$1001,_xlfn.AGGREGATE(15,6,(ROW('Row Level Master Sheet'!$K$2:$K$1001)-ROW('Row Level Master Sheet'!$K$2)+1)/('Row Level Master Sheet'!$C$2:$C$1001="Traditional"),ROWS($B$2:B736))),"")</f>
        <v/>
      </c>
    </row>
    <row r="737" spans="1:2" x14ac:dyDescent="0.35">
      <c r="A737" t="str" cm="1">
        <f t="array" ref="A737">IFERROR(INDEX('Row Level Master Sheet'!$K$2:$K$1001,_xlfn.AGGREGATE(15,6,(ROW('Row Level Master Sheet'!$K$2:$K$1001)-ROW('Row Level Master Sheet'!$K$2)+1)/('Row Level Master Sheet'!$C$2:$C$1001="Digital"),ROWS($A$2:A737))),"")</f>
        <v/>
      </c>
      <c r="B737" s="39" t="str" cm="1">
        <f t="array" ref="B737">IFERROR(INDEX('Row Level Master Sheet'!$K$2:$K$1001,_xlfn.AGGREGATE(15,6,(ROW('Row Level Master Sheet'!$K$2:$K$1001)-ROW('Row Level Master Sheet'!$K$2)+1)/('Row Level Master Sheet'!$C$2:$C$1001="Traditional"),ROWS($B$2:B737))),"")</f>
        <v/>
      </c>
    </row>
    <row r="738" spans="1:2" x14ac:dyDescent="0.35">
      <c r="A738" t="str" cm="1">
        <f t="array" ref="A738">IFERROR(INDEX('Row Level Master Sheet'!$K$2:$K$1001,_xlfn.AGGREGATE(15,6,(ROW('Row Level Master Sheet'!$K$2:$K$1001)-ROW('Row Level Master Sheet'!$K$2)+1)/('Row Level Master Sheet'!$C$2:$C$1001="Digital"),ROWS($A$2:A738))),"")</f>
        <v/>
      </c>
      <c r="B738" s="39" t="str" cm="1">
        <f t="array" ref="B738">IFERROR(INDEX('Row Level Master Sheet'!$K$2:$K$1001,_xlfn.AGGREGATE(15,6,(ROW('Row Level Master Sheet'!$K$2:$K$1001)-ROW('Row Level Master Sheet'!$K$2)+1)/('Row Level Master Sheet'!$C$2:$C$1001="Traditional"),ROWS($B$2:B738))),"")</f>
        <v/>
      </c>
    </row>
    <row r="739" spans="1:2" x14ac:dyDescent="0.35">
      <c r="A739" t="str" cm="1">
        <f t="array" ref="A739">IFERROR(INDEX('Row Level Master Sheet'!$K$2:$K$1001,_xlfn.AGGREGATE(15,6,(ROW('Row Level Master Sheet'!$K$2:$K$1001)-ROW('Row Level Master Sheet'!$K$2)+1)/('Row Level Master Sheet'!$C$2:$C$1001="Digital"),ROWS($A$2:A739))),"")</f>
        <v/>
      </c>
      <c r="B739" s="39" t="str" cm="1">
        <f t="array" ref="B739">IFERROR(INDEX('Row Level Master Sheet'!$K$2:$K$1001,_xlfn.AGGREGATE(15,6,(ROW('Row Level Master Sheet'!$K$2:$K$1001)-ROW('Row Level Master Sheet'!$K$2)+1)/('Row Level Master Sheet'!$C$2:$C$1001="Traditional"),ROWS($B$2:B739))),"")</f>
        <v/>
      </c>
    </row>
    <row r="740" spans="1:2" x14ac:dyDescent="0.35">
      <c r="A740" t="str" cm="1">
        <f t="array" ref="A740">IFERROR(INDEX('Row Level Master Sheet'!$K$2:$K$1001,_xlfn.AGGREGATE(15,6,(ROW('Row Level Master Sheet'!$K$2:$K$1001)-ROW('Row Level Master Sheet'!$K$2)+1)/('Row Level Master Sheet'!$C$2:$C$1001="Digital"),ROWS($A$2:A740))),"")</f>
        <v/>
      </c>
      <c r="B740" s="39" t="str" cm="1">
        <f t="array" ref="B740">IFERROR(INDEX('Row Level Master Sheet'!$K$2:$K$1001,_xlfn.AGGREGATE(15,6,(ROW('Row Level Master Sheet'!$K$2:$K$1001)-ROW('Row Level Master Sheet'!$K$2)+1)/('Row Level Master Sheet'!$C$2:$C$1001="Traditional"),ROWS($B$2:B740))),"")</f>
        <v/>
      </c>
    </row>
    <row r="741" spans="1:2" x14ac:dyDescent="0.35">
      <c r="A741" t="str" cm="1">
        <f t="array" ref="A741">IFERROR(INDEX('Row Level Master Sheet'!$K$2:$K$1001,_xlfn.AGGREGATE(15,6,(ROW('Row Level Master Sheet'!$K$2:$K$1001)-ROW('Row Level Master Sheet'!$K$2)+1)/('Row Level Master Sheet'!$C$2:$C$1001="Digital"),ROWS($A$2:A741))),"")</f>
        <v/>
      </c>
      <c r="B741" s="39" t="str" cm="1">
        <f t="array" ref="B741">IFERROR(INDEX('Row Level Master Sheet'!$K$2:$K$1001,_xlfn.AGGREGATE(15,6,(ROW('Row Level Master Sheet'!$K$2:$K$1001)-ROW('Row Level Master Sheet'!$K$2)+1)/('Row Level Master Sheet'!$C$2:$C$1001="Traditional"),ROWS($B$2:B741))),"")</f>
        <v/>
      </c>
    </row>
    <row r="742" spans="1:2" x14ac:dyDescent="0.35">
      <c r="A742" t="str" cm="1">
        <f t="array" ref="A742">IFERROR(INDEX('Row Level Master Sheet'!$K$2:$K$1001,_xlfn.AGGREGATE(15,6,(ROW('Row Level Master Sheet'!$K$2:$K$1001)-ROW('Row Level Master Sheet'!$K$2)+1)/('Row Level Master Sheet'!$C$2:$C$1001="Digital"),ROWS($A$2:A742))),"")</f>
        <v/>
      </c>
      <c r="B742" s="39" t="str" cm="1">
        <f t="array" ref="B742">IFERROR(INDEX('Row Level Master Sheet'!$K$2:$K$1001,_xlfn.AGGREGATE(15,6,(ROW('Row Level Master Sheet'!$K$2:$K$1001)-ROW('Row Level Master Sheet'!$K$2)+1)/('Row Level Master Sheet'!$C$2:$C$1001="Traditional"),ROWS($B$2:B742))),"")</f>
        <v/>
      </c>
    </row>
    <row r="743" spans="1:2" x14ac:dyDescent="0.35">
      <c r="A743" t="str" cm="1">
        <f t="array" ref="A743">IFERROR(INDEX('Row Level Master Sheet'!$K$2:$K$1001,_xlfn.AGGREGATE(15,6,(ROW('Row Level Master Sheet'!$K$2:$K$1001)-ROW('Row Level Master Sheet'!$K$2)+1)/('Row Level Master Sheet'!$C$2:$C$1001="Digital"),ROWS($A$2:A743))),"")</f>
        <v/>
      </c>
      <c r="B743" s="39" t="str" cm="1">
        <f t="array" ref="B743">IFERROR(INDEX('Row Level Master Sheet'!$K$2:$K$1001,_xlfn.AGGREGATE(15,6,(ROW('Row Level Master Sheet'!$K$2:$K$1001)-ROW('Row Level Master Sheet'!$K$2)+1)/('Row Level Master Sheet'!$C$2:$C$1001="Traditional"),ROWS($B$2:B743))),"")</f>
        <v/>
      </c>
    </row>
    <row r="744" spans="1:2" x14ac:dyDescent="0.35">
      <c r="A744" t="str" cm="1">
        <f t="array" ref="A744">IFERROR(INDEX('Row Level Master Sheet'!$K$2:$K$1001,_xlfn.AGGREGATE(15,6,(ROW('Row Level Master Sheet'!$K$2:$K$1001)-ROW('Row Level Master Sheet'!$K$2)+1)/('Row Level Master Sheet'!$C$2:$C$1001="Digital"),ROWS($A$2:A744))),"")</f>
        <v/>
      </c>
      <c r="B744" s="39" t="str" cm="1">
        <f t="array" ref="B744">IFERROR(INDEX('Row Level Master Sheet'!$K$2:$K$1001,_xlfn.AGGREGATE(15,6,(ROW('Row Level Master Sheet'!$K$2:$K$1001)-ROW('Row Level Master Sheet'!$K$2)+1)/('Row Level Master Sheet'!$C$2:$C$1001="Traditional"),ROWS($B$2:B744))),"")</f>
        <v/>
      </c>
    </row>
    <row r="745" spans="1:2" x14ac:dyDescent="0.35">
      <c r="A745" t="str" cm="1">
        <f t="array" ref="A745">IFERROR(INDEX('Row Level Master Sheet'!$K$2:$K$1001,_xlfn.AGGREGATE(15,6,(ROW('Row Level Master Sheet'!$K$2:$K$1001)-ROW('Row Level Master Sheet'!$K$2)+1)/('Row Level Master Sheet'!$C$2:$C$1001="Digital"),ROWS($A$2:A745))),"")</f>
        <v/>
      </c>
      <c r="B745" s="39" t="str" cm="1">
        <f t="array" ref="B745">IFERROR(INDEX('Row Level Master Sheet'!$K$2:$K$1001,_xlfn.AGGREGATE(15,6,(ROW('Row Level Master Sheet'!$K$2:$K$1001)-ROW('Row Level Master Sheet'!$K$2)+1)/('Row Level Master Sheet'!$C$2:$C$1001="Traditional"),ROWS($B$2:B745))),"")</f>
        <v/>
      </c>
    </row>
    <row r="746" spans="1:2" x14ac:dyDescent="0.35">
      <c r="A746" t="str" cm="1">
        <f t="array" ref="A746">IFERROR(INDEX('Row Level Master Sheet'!$K$2:$K$1001,_xlfn.AGGREGATE(15,6,(ROW('Row Level Master Sheet'!$K$2:$K$1001)-ROW('Row Level Master Sheet'!$K$2)+1)/('Row Level Master Sheet'!$C$2:$C$1001="Digital"),ROWS($A$2:A746))),"")</f>
        <v/>
      </c>
      <c r="B746" s="39" t="str" cm="1">
        <f t="array" ref="B746">IFERROR(INDEX('Row Level Master Sheet'!$K$2:$K$1001,_xlfn.AGGREGATE(15,6,(ROW('Row Level Master Sheet'!$K$2:$K$1001)-ROW('Row Level Master Sheet'!$K$2)+1)/('Row Level Master Sheet'!$C$2:$C$1001="Traditional"),ROWS($B$2:B746))),"")</f>
        <v/>
      </c>
    </row>
    <row r="747" spans="1:2" x14ac:dyDescent="0.35">
      <c r="A747" t="str" cm="1">
        <f t="array" ref="A747">IFERROR(INDEX('Row Level Master Sheet'!$K$2:$K$1001,_xlfn.AGGREGATE(15,6,(ROW('Row Level Master Sheet'!$K$2:$K$1001)-ROW('Row Level Master Sheet'!$K$2)+1)/('Row Level Master Sheet'!$C$2:$C$1001="Digital"),ROWS($A$2:A747))),"")</f>
        <v/>
      </c>
      <c r="B747" s="39" t="str" cm="1">
        <f t="array" ref="B747">IFERROR(INDEX('Row Level Master Sheet'!$K$2:$K$1001,_xlfn.AGGREGATE(15,6,(ROW('Row Level Master Sheet'!$K$2:$K$1001)-ROW('Row Level Master Sheet'!$K$2)+1)/('Row Level Master Sheet'!$C$2:$C$1001="Traditional"),ROWS($B$2:B747))),"")</f>
        <v/>
      </c>
    </row>
    <row r="748" spans="1:2" x14ac:dyDescent="0.35">
      <c r="A748" t="str" cm="1">
        <f t="array" ref="A748">IFERROR(INDEX('Row Level Master Sheet'!$K$2:$K$1001,_xlfn.AGGREGATE(15,6,(ROW('Row Level Master Sheet'!$K$2:$K$1001)-ROW('Row Level Master Sheet'!$K$2)+1)/('Row Level Master Sheet'!$C$2:$C$1001="Digital"),ROWS($A$2:A748))),"")</f>
        <v/>
      </c>
      <c r="B748" s="39" t="str" cm="1">
        <f t="array" ref="B748">IFERROR(INDEX('Row Level Master Sheet'!$K$2:$K$1001,_xlfn.AGGREGATE(15,6,(ROW('Row Level Master Sheet'!$K$2:$K$1001)-ROW('Row Level Master Sheet'!$K$2)+1)/('Row Level Master Sheet'!$C$2:$C$1001="Traditional"),ROWS($B$2:B748))),"")</f>
        <v/>
      </c>
    </row>
    <row r="749" spans="1:2" x14ac:dyDescent="0.35">
      <c r="A749" t="str" cm="1">
        <f t="array" ref="A749">IFERROR(INDEX('Row Level Master Sheet'!$K$2:$K$1001,_xlfn.AGGREGATE(15,6,(ROW('Row Level Master Sheet'!$K$2:$K$1001)-ROW('Row Level Master Sheet'!$K$2)+1)/('Row Level Master Sheet'!$C$2:$C$1001="Digital"),ROWS($A$2:A749))),"")</f>
        <v/>
      </c>
      <c r="B749" s="39" t="str" cm="1">
        <f t="array" ref="B749">IFERROR(INDEX('Row Level Master Sheet'!$K$2:$K$1001,_xlfn.AGGREGATE(15,6,(ROW('Row Level Master Sheet'!$K$2:$K$1001)-ROW('Row Level Master Sheet'!$K$2)+1)/('Row Level Master Sheet'!$C$2:$C$1001="Traditional"),ROWS($B$2:B749))),"")</f>
        <v/>
      </c>
    </row>
    <row r="750" spans="1:2" x14ac:dyDescent="0.35">
      <c r="A750" t="str" cm="1">
        <f t="array" ref="A750">IFERROR(INDEX('Row Level Master Sheet'!$K$2:$K$1001,_xlfn.AGGREGATE(15,6,(ROW('Row Level Master Sheet'!$K$2:$K$1001)-ROW('Row Level Master Sheet'!$K$2)+1)/('Row Level Master Sheet'!$C$2:$C$1001="Digital"),ROWS($A$2:A750))),"")</f>
        <v/>
      </c>
      <c r="B750" s="39" t="str" cm="1">
        <f t="array" ref="B750">IFERROR(INDEX('Row Level Master Sheet'!$K$2:$K$1001,_xlfn.AGGREGATE(15,6,(ROW('Row Level Master Sheet'!$K$2:$K$1001)-ROW('Row Level Master Sheet'!$K$2)+1)/('Row Level Master Sheet'!$C$2:$C$1001="Traditional"),ROWS($B$2:B750))),"")</f>
        <v/>
      </c>
    </row>
    <row r="751" spans="1:2" x14ac:dyDescent="0.35">
      <c r="A751" t="str" cm="1">
        <f t="array" ref="A751">IFERROR(INDEX('Row Level Master Sheet'!$K$2:$K$1001,_xlfn.AGGREGATE(15,6,(ROW('Row Level Master Sheet'!$K$2:$K$1001)-ROW('Row Level Master Sheet'!$K$2)+1)/('Row Level Master Sheet'!$C$2:$C$1001="Digital"),ROWS($A$2:A751))),"")</f>
        <v/>
      </c>
      <c r="B751" s="39" t="str" cm="1">
        <f t="array" ref="B751">IFERROR(INDEX('Row Level Master Sheet'!$K$2:$K$1001,_xlfn.AGGREGATE(15,6,(ROW('Row Level Master Sheet'!$K$2:$K$1001)-ROW('Row Level Master Sheet'!$K$2)+1)/('Row Level Master Sheet'!$C$2:$C$1001="Traditional"),ROWS($B$2:B751))),"")</f>
        <v/>
      </c>
    </row>
    <row r="752" spans="1:2" x14ac:dyDescent="0.35">
      <c r="A752" t="str" cm="1">
        <f t="array" ref="A752">IFERROR(INDEX('Row Level Master Sheet'!$K$2:$K$1001,_xlfn.AGGREGATE(15,6,(ROW('Row Level Master Sheet'!$K$2:$K$1001)-ROW('Row Level Master Sheet'!$K$2)+1)/('Row Level Master Sheet'!$C$2:$C$1001="Digital"),ROWS($A$2:A752))),"")</f>
        <v/>
      </c>
      <c r="B752" s="39" t="str" cm="1">
        <f t="array" ref="B752">IFERROR(INDEX('Row Level Master Sheet'!$K$2:$K$1001,_xlfn.AGGREGATE(15,6,(ROW('Row Level Master Sheet'!$K$2:$K$1001)-ROW('Row Level Master Sheet'!$K$2)+1)/('Row Level Master Sheet'!$C$2:$C$1001="Traditional"),ROWS($B$2:B752))),"")</f>
        <v/>
      </c>
    </row>
    <row r="753" spans="1:2" x14ac:dyDescent="0.35">
      <c r="A753" t="str" cm="1">
        <f t="array" ref="A753">IFERROR(INDEX('Row Level Master Sheet'!$K$2:$K$1001,_xlfn.AGGREGATE(15,6,(ROW('Row Level Master Sheet'!$K$2:$K$1001)-ROW('Row Level Master Sheet'!$K$2)+1)/('Row Level Master Sheet'!$C$2:$C$1001="Digital"),ROWS($A$2:A753))),"")</f>
        <v/>
      </c>
      <c r="B753" s="39" t="str" cm="1">
        <f t="array" ref="B753">IFERROR(INDEX('Row Level Master Sheet'!$K$2:$K$1001,_xlfn.AGGREGATE(15,6,(ROW('Row Level Master Sheet'!$K$2:$K$1001)-ROW('Row Level Master Sheet'!$K$2)+1)/('Row Level Master Sheet'!$C$2:$C$1001="Traditional"),ROWS($B$2:B753))),"")</f>
        <v/>
      </c>
    </row>
    <row r="754" spans="1:2" x14ac:dyDescent="0.35">
      <c r="A754" t="str" cm="1">
        <f t="array" ref="A754">IFERROR(INDEX('Row Level Master Sheet'!$K$2:$K$1001,_xlfn.AGGREGATE(15,6,(ROW('Row Level Master Sheet'!$K$2:$K$1001)-ROW('Row Level Master Sheet'!$K$2)+1)/('Row Level Master Sheet'!$C$2:$C$1001="Digital"),ROWS($A$2:A754))),"")</f>
        <v/>
      </c>
      <c r="B754" s="39" t="str" cm="1">
        <f t="array" ref="B754">IFERROR(INDEX('Row Level Master Sheet'!$K$2:$K$1001,_xlfn.AGGREGATE(15,6,(ROW('Row Level Master Sheet'!$K$2:$K$1001)-ROW('Row Level Master Sheet'!$K$2)+1)/('Row Level Master Sheet'!$C$2:$C$1001="Traditional"),ROWS($B$2:B754))),"")</f>
        <v/>
      </c>
    </row>
    <row r="755" spans="1:2" x14ac:dyDescent="0.35">
      <c r="A755" t="str" cm="1">
        <f t="array" ref="A755">IFERROR(INDEX('Row Level Master Sheet'!$K$2:$K$1001,_xlfn.AGGREGATE(15,6,(ROW('Row Level Master Sheet'!$K$2:$K$1001)-ROW('Row Level Master Sheet'!$K$2)+1)/('Row Level Master Sheet'!$C$2:$C$1001="Digital"),ROWS($A$2:A755))),"")</f>
        <v/>
      </c>
      <c r="B755" s="39" t="str" cm="1">
        <f t="array" ref="B755">IFERROR(INDEX('Row Level Master Sheet'!$K$2:$K$1001,_xlfn.AGGREGATE(15,6,(ROW('Row Level Master Sheet'!$K$2:$K$1001)-ROW('Row Level Master Sheet'!$K$2)+1)/('Row Level Master Sheet'!$C$2:$C$1001="Traditional"),ROWS($B$2:B755))),"")</f>
        <v/>
      </c>
    </row>
    <row r="756" spans="1:2" x14ac:dyDescent="0.35">
      <c r="A756" t="str" cm="1">
        <f t="array" ref="A756">IFERROR(INDEX('Row Level Master Sheet'!$K$2:$K$1001,_xlfn.AGGREGATE(15,6,(ROW('Row Level Master Sheet'!$K$2:$K$1001)-ROW('Row Level Master Sheet'!$K$2)+1)/('Row Level Master Sheet'!$C$2:$C$1001="Digital"),ROWS($A$2:A756))),"")</f>
        <v/>
      </c>
      <c r="B756" s="39" t="str" cm="1">
        <f t="array" ref="B756">IFERROR(INDEX('Row Level Master Sheet'!$K$2:$K$1001,_xlfn.AGGREGATE(15,6,(ROW('Row Level Master Sheet'!$K$2:$K$1001)-ROW('Row Level Master Sheet'!$K$2)+1)/('Row Level Master Sheet'!$C$2:$C$1001="Traditional"),ROWS($B$2:B756))),"")</f>
        <v/>
      </c>
    </row>
    <row r="757" spans="1:2" x14ac:dyDescent="0.35">
      <c r="A757" t="str" cm="1">
        <f t="array" ref="A757">IFERROR(INDEX('Row Level Master Sheet'!$K$2:$K$1001,_xlfn.AGGREGATE(15,6,(ROW('Row Level Master Sheet'!$K$2:$K$1001)-ROW('Row Level Master Sheet'!$K$2)+1)/('Row Level Master Sheet'!$C$2:$C$1001="Digital"),ROWS($A$2:A757))),"")</f>
        <v/>
      </c>
      <c r="B757" s="39" t="str" cm="1">
        <f t="array" ref="B757">IFERROR(INDEX('Row Level Master Sheet'!$K$2:$K$1001,_xlfn.AGGREGATE(15,6,(ROW('Row Level Master Sheet'!$K$2:$K$1001)-ROW('Row Level Master Sheet'!$K$2)+1)/('Row Level Master Sheet'!$C$2:$C$1001="Traditional"),ROWS($B$2:B757))),"")</f>
        <v/>
      </c>
    </row>
    <row r="758" spans="1:2" x14ac:dyDescent="0.35">
      <c r="A758" t="str" cm="1">
        <f t="array" ref="A758">IFERROR(INDEX('Row Level Master Sheet'!$K$2:$K$1001,_xlfn.AGGREGATE(15,6,(ROW('Row Level Master Sheet'!$K$2:$K$1001)-ROW('Row Level Master Sheet'!$K$2)+1)/('Row Level Master Sheet'!$C$2:$C$1001="Digital"),ROWS($A$2:A758))),"")</f>
        <v/>
      </c>
      <c r="B758" s="39" t="str" cm="1">
        <f t="array" ref="B758">IFERROR(INDEX('Row Level Master Sheet'!$K$2:$K$1001,_xlfn.AGGREGATE(15,6,(ROW('Row Level Master Sheet'!$K$2:$K$1001)-ROW('Row Level Master Sheet'!$K$2)+1)/('Row Level Master Sheet'!$C$2:$C$1001="Traditional"),ROWS($B$2:B758))),"")</f>
        <v/>
      </c>
    </row>
    <row r="759" spans="1:2" x14ac:dyDescent="0.35">
      <c r="A759" t="str" cm="1">
        <f t="array" ref="A759">IFERROR(INDEX('Row Level Master Sheet'!$K$2:$K$1001,_xlfn.AGGREGATE(15,6,(ROW('Row Level Master Sheet'!$K$2:$K$1001)-ROW('Row Level Master Sheet'!$K$2)+1)/('Row Level Master Sheet'!$C$2:$C$1001="Digital"),ROWS($A$2:A759))),"")</f>
        <v/>
      </c>
      <c r="B759" s="39" t="str" cm="1">
        <f t="array" ref="B759">IFERROR(INDEX('Row Level Master Sheet'!$K$2:$K$1001,_xlfn.AGGREGATE(15,6,(ROW('Row Level Master Sheet'!$K$2:$K$1001)-ROW('Row Level Master Sheet'!$K$2)+1)/('Row Level Master Sheet'!$C$2:$C$1001="Traditional"),ROWS($B$2:B759))),"")</f>
        <v/>
      </c>
    </row>
    <row r="760" spans="1:2" x14ac:dyDescent="0.35">
      <c r="A760" t="str" cm="1">
        <f t="array" ref="A760">IFERROR(INDEX('Row Level Master Sheet'!$K$2:$K$1001,_xlfn.AGGREGATE(15,6,(ROW('Row Level Master Sheet'!$K$2:$K$1001)-ROW('Row Level Master Sheet'!$K$2)+1)/('Row Level Master Sheet'!$C$2:$C$1001="Digital"),ROWS($A$2:A760))),"")</f>
        <v/>
      </c>
      <c r="B760" s="39" t="str" cm="1">
        <f t="array" ref="B760">IFERROR(INDEX('Row Level Master Sheet'!$K$2:$K$1001,_xlfn.AGGREGATE(15,6,(ROW('Row Level Master Sheet'!$K$2:$K$1001)-ROW('Row Level Master Sheet'!$K$2)+1)/('Row Level Master Sheet'!$C$2:$C$1001="Traditional"),ROWS($B$2:B760))),"")</f>
        <v/>
      </c>
    </row>
    <row r="761" spans="1:2" x14ac:dyDescent="0.35">
      <c r="A761" t="str" cm="1">
        <f t="array" ref="A761">IFERROR(INDEX('Row Level Master Sheet'!$K$2:$K$1001,_xlfn.AGGREGATE(15,6,(ROW('Row Level Master Sheet'!$K$2:$K$1001)-ROW('Row Level Master Sheet'!$K$2)+1)/('Row Level Master Sheet'!$C$2:$C$1001="Digital"),ROWS($A$2:A761))),"")</f>
        <v/>
      </c>
      <c r="B761" s="39" t="str" cm="1">
        <f t="array" ref="B761">IFERROR(INDEX('Row Level Master Sheet'!$K$2:$K$1001,_xlfn.AGGREGATE(15,6,(ROW('Row Level Master Sheet'!$K$2:$K$1001)-ROW('Row Level Master Sheet'!$K$2)+1)/('Row Level Master Sheet'!$C$2:$C$1001="Traditional"),ROWS($B$2:B761))),"")</f>
        <v/>
      </c>
    </row>
    <row r="762" spans="1:2" x14ac:dyDescent="0.35">
      <c r="A762" t="str" cm="1">
        <f t="array" ref="A762">IFERROR(INDEX('Row Level Master Sheet'!$K$2:$K$1001,_xlfn.AGGREGATE(15,6,(ROW('Row Level Master Sheet'!$K$2:$K$1001)-ROW('Row Level Master Sheet'!$K$2)+1)/('Row Level Master Sheet'!$C$2:$C$1001="Digital"),ROWS($A$2:A762))),"")</f>
        <v/>
      </c>
      <c r="B762" s="39" t="str" cm="1">
        <f t="array" ref="B762">IFERROR(INDEX('Row Level Master Sheet'!$K$2:$K$1001,_xlfn.AGGREGATE(15,6,(ROW('Row Level Master Sheet'!$K$2:$K$1001)-ROW('Row Level Master Sheet'!$K$2)+1)/('Row Level Master Sheet'!$C$2:$C$1001="Traditional"),ROWS($B$2:B762))),"")</f>
        <v/>
      </c>
    </row>
    <row r="763" spans="1:2" x14ac:dyDescent="0.35">
      <c r="A763" t="str" cm="1">
        <f t="array" ref="A763">IFERROR(INDEX('Row Level Master Sheet'!$K$2:$K$1001,_xlfn.AGGREGATE(15,6,(ROW('Row Level Master Sheet'!$K$2:$K$1001)-ROW('Row Level Master Sheet'!$K$2)+1)/('Row Level Master Sheet'!$C$2:$C$1001="Digital"),ROWS($A$2:A763))),"")</f>
        <v/>
      </c>
      <c r="B763" s="39" t="str" cm="1">
        <f t="array" ref="B763">IFERROR(INDEX('Row Level Master Sheet'!$K$2:$K$1001,_xlfn.AGGREGATE(15,6,(ROW('Row Level Master Sheet'!$K$2:$K$1001)-ROW('Row Level Master Sheet'!$K$2)+1)/('Row Level Master Sheet'!$C$2:$C$1001="Traditional"),ROWS($B$2:B763))),"")</f>
        <v/>
      </c>
    </row>
    <row r="764" spans="1:2" x14ac:dyDescent="0.35">
      <c r="A764" t="str" cm="1">
        <f t="array" ref="A764">IFERROR(INDEX('Row Level Master Sheet'!$K$2:$K$1001,_xlfn.AGGREGATE(15,6,(ROW('Row Level Master Sheet'!$K$2:$K$1001)-ROW('Row Level Master Sheet'!$K$2)+1)/('Row Level Master Sheet'!$C$2:$C$1001="Digital"),ROWS($A$2:A764))),"")</f>
        <v/>
      </c>
      <c r="B764" s="39" t="str" cm="1">
        <f t="array" ref="B764">IFERROR(INDEX('Row Level Master Sheet'!$K$2:$K$1001,_xlfn.AGGREGATE(15,6,(ROW('Row Level Master Sheet'!$K$2:$K$1001)-ROW('Row Level Master Sheet'!$K$2)+1)/('Row Level Master Sheet'!$C$2:$C$1001="Traditional"),ROWS($B$2:B764))),"")</f>
        <v/>
      </c>
    </row>
    <row r="765" spans="1:2" x14ac:dyDescent="0.35">
      <c r="A765" t="str" cm="1">
        <f t="array" ref="A765">IFERROR(INDEX('Row Level Master Sheet'!$K$2:$K$1001,_xlfn.AGGREGATE(15,6,(ROW('Row Level Master Sheet'!$K$2:$K$1001)-ROW('Row Level Master Sheet'!$K$2)+1)/('Row Level Master Sheet'!$C$2:$C$1001="Digital"),ROWS($A$2:A765))),"")</f>
        <v/>
      </c>
      <c r="B765" s="39" t="str" cm="1">
        <f t="array" ref="B765">IFERROR(INDEX('Row Level Master Sheet'!$K$2:$K$1001,_xlfn.AGGREGATE(15,6,(ROW('Row Level Master Sheet'!$K$2:$K$1001)-ROW('Row Level Master Sheet'!$K$2)+1)/('Row Level Master Sheet'!$C$2:$C$1001="Traditional"),ROWS($B$2:B765))),"")</f>
        <v/>
      </c>
    </row>
    <row r="766" spans="1:2" x14ac:dyDescent="0.35">
      <c r="A766" t="str" cm="1">
        <f t="array" ref="A766">IFERROR(INDEX('Row Level Master Sheet'!$K$2:$K$1001,_xlfn.AGGREGATE(15,6,(ROW('Row Level Master Sheet'!$K$2:$K$1001)-ROW('Row Level Master Sheet'!$K$2)+1)/('Row Level Master Sheet'!$C$2:$C$1001="Digital"),ROWS($A$2:A766))),"")</f>
        <v/>
      </c>
      <c r="B766" s="39" t="str" cm="1">
        <f t="array" ref="B766">IFERROR(INDEX('Row Level Master Sheet'!$K$2:$K$1001,_xlfn.AGGREGATE(15,6,(ROW('Row Level Master Sheet'!$K$2:$K$1001)-ROW('Row Level Master Sheet'!$K$2)+1)/('Row Level Master Sheet'!$C$2:$C$1001="Traditional"),ROWS($B$2:B766))),"")</f>
        <v/>
      </c>
    </row>
    <row r="767" spans="1:2" x14ac:dyDescent="0.35">
      <c r="A767" t="str" cm="1">
        <f t="array" ref="A767">IFERROR(INDEX('Row Level Master Sheet'!$K$2:$K$1001,_xlfn.AGGREGATE(15,6,(ROW('Row Level Master Sheet'!$K$2:$K$1001)-ROW('Row Level Master Sheet'!$K$2)+1)/('Row Level Master Sheet'!$C$2:$C$1001="Digital"),ROWS($A$2:A767))),"")</f>
        <v/>
      </c>
      <c r="B767" s="39" t="str" cm="1">
        <f t="array" ref="B767">IFERROR(INDEX('Row Level Master Sheet'!$K$2:$K$1001,_xlfn.AGGREGATE(15,6,(ROW('Row Level Master Sheet'!$K$2:$K$1001)-ROW('Row Level Master Sheet'!$K$2)+1)/('Row Level Master Sheet'!$C$2:$C$1001="Traditional"),ROWS($B$2:B767))),"")</f>
        <v/>
      </c>
    </row>
    <row r="768" spans="1:2" x14ac:dyDescent="0.35">
      <c r="A768" t="str" cm="1">
        <f t="array" ref="A768">IFERROR(INDEX('Row Level Master Sheet'!$K$2:$K$1001,_xlfn.AGGREGATE(15,6,(ROW('Row Level Master Sheet'!$K$2:$K$1001)-ROW('Row Level Master Sheet'!$K$2)+1)/('Row Level Master Sheet'!$C$2:$C$1001="Digital"),ROWS($A$2:A768))),"")</f>
        <v/>
      </c>
      <c r="B768" s="39" t="str" cm="1">
        <f t="array" ref="B768">IFERROR(INDEX('Row Level Master Sheet'!$K$2:$K$1001,_xlfn.AGGREGATE(15,6,(ROW('Row Level Master Sheet'!$K$2:$K$1001)-ROW('Row Level Master Sheet'!$K$2)+1)/('Row Level Master Sheet'!$C$2:$C$1001="Traditional"),ROWS($B$2:B768))),"")</f>
        <v/>
      </c>
    </row>
    <row r="769" spans="1:2" x14ac:dyDescent="0.35">
      <c r="A769" t="str" cm="1">
        <f t="array" ref="A769">IFERROR(INDEX('Row Level Master Sheet'!$K$2:$K$1001,_xlfn.AGGREGATE(15,6,(ROW('Row Level Master Sheet'!$K$2:$K$1001)-ROW('Row Level Master Sheet'!$K$2)+1)/('Row Level Master Sheet'!$C$2:$C$1001="Digital"),ROWS($A$2:A769))),"")</f>
        <v/>
      </c>
      <c r="B769" s="39" t="str" cm="1">
        <f t="array" ref="B769">IFERROR(INDEX('Row Level Master Sheet'!$K$2:$K$1001,_xlfn.AGGREGATE(15,6,(ROW('Row Level Master Sheet'!$K$2:$K$1001)-ROW('Row Level Master Sheet'!$K$2)+1)/('Row Level Master Sheet'!$C$2:$C$1001="Traditional"),ROWS($B$2:B769))),"")</f>
        <v/>
      </c>
    </row>
    <row r="770" spans="1:2" x14ac:dyDescent="0.35">
      <c r="A770" t="str" cm="1">
        <f t="array" ref="A770">IFERROR(INDEX('Row Level Master Sheet'!$K$2:$K$1001,_xlfn.AGGREGATE(15,6,(ROW('Row Level Master Sheet'!$K$2:$K$1001)-ROW('Row Level Master Sheet'!$K$2)+1)/('Row Level Master Sheet'!$C$2:$C$1001="Digital"),ROWS($A$2:A770))),"")</f>
        <v/>
      </c>
      <c r="B770" s="39" t="str" cm="1">
        <f t="array" ref="B770">IFERROR(INDEX('Row Level Master Sheet'!$K$2:$K$1001,_xlfn.AGGREGATE(15,6,(ROW('Row Level Master Sheet'!$K$2:$K$1001)-ROW('Row Level Master Sheet'!$K$2)+1)/('Row Level Master Sheet'!$C$2:$C$1001="Traditional"),ROWS($B$2:B770))),"")</f>
        <v/>
      </c>
    </row>
    <row r="771" spans="1:2" x14ac:dyDescent="0.35">
      <c r="A771" t="str" cm="1">
        <f t="array" ref="A771">IFERROR(INDEX('Row Level Master Sheet'!$K$2:$K$1001,_xlfn.AGGREGATE(15,6,(ROW('Row Level Master Sheet'!$K$2:$K$1001)-ROW('Row Level Master Sheet'!$K$2)+1)/('Row Level Master Sheet'!$C$2:$C$1001="Digital"),ROWS($A$2:A771))),"")</f>
        <v/>
      </c>
      <c r="B771" s="39" t="str" cm="1">
        <f t="array" ref="B771">IFERROR(INDEX('Row Level Master Sheet'!$K$2:$K$1001,_xlfn.AGGREGATE(15,6,(ROW('Row Level Master Sheet'!$K$2:$K$1001)-ROW('Row Level Master Sheet'!$K$2)+1)/('Row Level Master Sheet'!$C$2:$C$1001="Traditional"),ROWS($B$2:B771))),"")</f>
        <v/>
      </c>
    </row>
    <row r="772" spans="1:2" x14ac:dyDescent="0.35">
      <c r="A772" t="str" cm="1">
        <f t="array" ref="A772">IFERROR(INDEX('Row Level Master Sheet'!$K$2:$K$1001,_xlfn.AGGREGATE(15,6,(ROW('Row Level Master Sheet'!$K$2:$K$1001)-ROW('Row Level Master Sheet'!$K$2)+1)/('Row Level Master Sheet'!$C$2:$C$1001="Digital"),ROWS($A$2:A772))),"")</f>
        <v/>
      </c>
      <c r="B772" s="39" t="str" cm="1">
        <f t="array" ref="B772">IFERROR(INDEX('Row Level Master Sheet'!$K$2:$K$1001,_xlfn.AGGREGATE(15,6,(ROW('Row Level Master Sheet'!$K$2:$K$1001)-ROW('Row Level Master Sheet'!$K$2)+1)/('Row Level Master Sheet'!$C$2:$C$1001="Traditional"),ROWS($B$2:B772))),"")</f>
        <v/>
      </c>
    </row>
    <row r="773" spans="1:2" x14ac:dyDescent="0.35">
      <c r="A773" t="str" cm="1">
        <f t="array" ref="A773">IFERROR(INDEX('Row Level Master Sheet'!$K$2:$K$1001,_xlfn.AGGREGATE(15,6,(ROW('Row Level Master Sheet'!$K$2:$K$1001)-ROW('Row Level Master Sheet'!$K$2)+1)/('Row Level Master Sheet'!$C$2:$C$1001="Digital"),ROWS($A$2:A773))),"")</f>
        <v/>
      </c>
      <c r="B773" s="39" t="str" cm="1">
        <f t="array" ref="B773">IFERROR(INDEX('Row Level Master Sheet'!$K$2:$K$1001,_xlfn.AGGREGATE(15,6,(ROW('Row Level Master Sheet'!$K$2:$K$1001)-ROW('Row Level Master Sheet'!$K$2)+1)/('Row Level Master Sheet'!$C$2:$C$1001="Traditional"),ROWS($B$2:B773))),"")</f>
        <v/>
      </c>
    </row>
    <row r="774" spans="1:2" x14ac:dyDescent="0.35">
      <c r="A774" t="str" cm="1">
        <f t="array" ref="A774">IFERROR(INDEX('Row Level Master Sheet'!$K$2:$K$1001,_xlfn.AGGREGATE(15,6,(ROW('Row Level Master Sheet'!$K$2:$K$1001)-ROW('Row Level Master Sheet'!$K$2)+1)/('Row Level Master Sheet'!$C$2:$C$1001="Digital"),ROWS($A$2:A774))),"")</f>
        <v/>
      </c>
      <c r="B774" s="39" t="str" cm="1">
        <f t="array" ref="B774">IFERROR(INDEX('Row Level Master Sheet'!$K$2:$K$1001,_xlfn.AGGREGATE(15,6,(ROW('Row Level Master Sheet'!$K$2:$K$1001)-ROW('Row Level Master Sheet'!$K$2)+1)/('Row Level Master Sheet'!$C$2:$C$1001="Traditional"),ROWS($B$2:B774))),"")</f>
        <v/>
      </c>
    </row>
    <row r="775" spans="1:2" x14ac:dyDescent="0.35">
      <c r="A775" t="str" cm="1">
        <f t="array" ref="A775">IFERROR(INDEX('Row Level Master Sheet'!$K$2:$K$1001,_xlfn.AGGREGATE(15,6,(ROW('Row Level Master Sheet'!$K$2:$K$1001)-ROW('Row Level Master Sheet'!$K$2)+1)/('Row Level Master Sheet'!$C$2:$C$1001="Digital"),ROWS($A$2:A775))),"")</f>
        <v/>
      </c>
      <c r="B775" s="39" t="str" cm="1">
        <f t="array" ref="B775">IFERROR(INDEX('Row Level Master Sheet'!$K$2:$K$1001,_xlfn.AGGREGATE(15,6,(ROW('Row Level Master Sheet'!$K$2:$K$1001)-ROW('Row Level Master Sheet'!$K$2)+1)/('Row Level Master Sheet'!$C$2:$C$1001="Traditional"),ROWS($B$2:B775))),"")</f>
        <v/>
      </c>
    </row>
    <row r="776" spans="1:2" x14ac:dyDescent="0.35">
      <c r="A776" t="str" cm="1">
        <f t="array" ref="A776">IFERROR(INDEX('Row Level Master Sheet'!$K$2:$K$1001,_xlfn.AGGREGATE(15,6,(ROW('Row Level Master Sheet'!$K$2:$K$1001)-ROW('Row Level Master Sheet'!$K$2)+1)/('Row Level Master Sheet'!$C$2:$C$1001="Digital"),ROWS($A$2:A776))),"")</f>
        <v/>
      </c>
      <c r="B776" s="39" t="str" cm="1">
        <f t="array" ref="B776">IFERROR(INDEX('Row Level Master Sheet'!$K$2:$K$1001,_xlfn.AGGREGATE(15,6,(ROW('Row Level Master Sheet'!$K$2:$K$1001)-ROW('Row Level Master Sheet'!$K$2)+1)/('Row Level Master Sheet'!$C$2:$C$1001="Traditional"),ROWS($B$2:B776))),"")</f>
        <v/>
      </c>
    </row>
    <row r="777" spans="1:2" x14ac:dyDescent="0.35">
      <c r="A777" t="str" cm="1">
        <f t="array" ref="A777">IFERROR(INDEX('Row Level Master Sheet'!$K$2:$K$1001,_xlfn.AGGREGATE(15,6,(ROW('Row Level Master Sheet'!$K$2:$K$1001)-ROW('Row Level Master Sheet'!$K$2)+1)/('Row Level Master Sheet'!$C$2:$C$1001="Digital"),ROWS($A$2:A777))),"")</f>
        <v/>
      </c>
      <c r="B777" s="39" t="str" cm="1">
        <f t="array" ref="B777">IFERROR(INDEX('Row Level Master Sheet'!$K$2:$K$1001,_xlfn.AGGREGATE(15,6,(ROW('Row Level Master Sheet'!$K$2:$K$1001)-ROW('Row Level Master Sheet'!$K$2)+1)/('Row Level Master Sheet'!$C$2:$C$1001="Traditional"),ROWS($B$2:B777))),"")</f>
        <v/>
      </c>
    </row>
    <row r="778" spans="1:2" x14ac:dyDescent="0.35">
      <c r="A778" t="str" cm="1">
        <f t="array" ref="A778">IFERROR(INDEX('Row Level Master Sheet'!$K$2:$K$1001,_xlfn.AGGREGATE(15,6,(ROW('Row Level Master Sheet'!$K$2:$K$1001)-ROW('Row Level Master Sheet'!$K$2)+1)/('Row Level Master Sheet'!$C$2:$C$1001="Digital"),ROWS($A$2:A778))),"")</f>
        <v/>
      </c>
      <c r="B778" s="39" t="str" cm="1">
        <f t="array" ref="B778">IFERROR(INDEX('Row Level Master Sheet'!$K$2:$K$1001,_xlfn.AGGREGATE(15,6,(ROW('Row Level Master Sheet'!$K$2:$K$1001)-ROW('Row Level Master Sheet'!$K$2)+1)/('Row Level Master Sheet'!$C$2:$C$1001="Traditional"),ROWS($B$2:B778))),"")</f>
        <v/>
      </c>
    </row>
    <row r="779" spans="1:2" x14ac:dyDescent="0.35">
      <c r="A779" t="str" cm="1">
        <f t="array" ref="A779">IFERROR(INDEX('Row Level Master Sheet'!$K$2:$K$1001,_xlfn.AGGREGATE(15,6,(ROW('Row Level Master Sheet'!$K$2:$K$1001)-ROW('Row Level Master Sheet'!$K$2)+1)/('Row Level Master Sheet'!$C$2:$C$1001="Digital"),ROWS($A$2:A779))),"")</f>
        <v/>
      </c>
      <c r="B779" s="39" t="str" cm="1">
        <f t="array" ref="B779">IFERROR(INDEX('Row Level Master Sheet'!$K$2:$K$1001,_xlfn.AGGREGATE(15,6,(ROW('Row Level Master Sheet'!$K$2:$K$1001)-ROW('Row Level Master Sheet'!$K$2)+1)/('Row Level Master Sheet'!$C$2:$C$1001="Traditional"),ROWS($B$2:B779))),"")</f>
        <v/>
      </c>
    </row>
    <row r="780" spans="1:2" x14ac:dyDescent="0.35">
      <c r="A780" t="str" cm="1">
        <f t="array" ref="A780">IFERROR(INDEX('Row Level Master Sheet'!$K$2:$K$1001,_xlfn.AGGREGATE(15,6,(ROW('Row Level Master Sheet'!$K$2:$K$1001)-ROW('Row Level Master Sheet'!$K$2)+1)/('Row Level Master Sheet'!$C$2:$C$1001="Digital"),ROWS($A$2:A780))),"")</f>
        <v/>
      </c>
      <c r="B780" s="39" t="str" cm="1">
        <f t="array" ref="B780">IFERROR(INDEX('Row Level Master Sheet'!$K$2:$K$1001,_xlfn.AGGREGATE(15,6,(ROW('Row Level Master Sheet'!$K$2:$K$1001)-ROW('Row Level Master Sheet'!$K$2)+1)/('Row Level Master Sheet'!$C$2:$C$1001="Traditional"),ROWS($B$2:B780))),"")</f>
        <v/>
      </c>
    </row>
    <row r="781" spans="1:2" x14ac:dyDescent="0.35">
      <c r="A781" t="str" cm="1">
        <f t="array" ref="A781">IFERROR(INDEX('Row Level Master Sheet'!$K$2:$K$1001,_xlfn.AGGREGATE(15,6,(ROW('Row Level Master Sheet'!$K$2:$K$1001)-ROW('Row Level Master Sheet'!$K$2)+1)/('Row Level Master Sheet'!$C$2:$C$1001="Digital"),ROWS($A$2:A781))),"")</f>
        <v/>
      </c>
      <c r="B781" s="39" t="str" cm="1">
        <f t="array" ref="B781">IFERROR(INDEX('Row Level Master Sheet'!$K$2:$K$1001,_xlfn.AGGREGATE(15,6,(ROW('Row Level Master Sheet'!$K$2:$K$1001)-ROW('Row Level Master Sheet'!$K$2)+1)/('Row Level Master Sheet'!$C$2:$C$1001="Traditional"),ROWS($B$2:B781))),"")</f>
        <v/>
      </c>
    </row>
    <row r="782" spans="1:2" x14ac:dyDescent="0.35">
      <c r="A782" t="str" cm="1">
        <f t="array" ref="A782">IFERROR(INDEX('Row Level Master Sheet'!$K$2:$K$1001,_xlfn.AGGREGATE(15,6,(ROW('Row Level Master Sheet'!$K$2:$K$1001)-ROW('Row Level Master Sheet'!$K$2)+1)/('Row Level Master Sheet'!$C$2:$C$1001="Digital"),ROWS($A$2:A782))),"")</f>
        <v/>
      </c>
      <c r="B782" s="39" t="str" cm="1">
        <f t="array" ref="B782">IFERROR(INDEX('Row Level Master Sheet'!$K$2:$K$1001,_xlfn.AGGREGATE(15,6,(ROW('Row Level Master Sheet'!$K$2:$K$1001)-ROW('Row Level Master Sheet'!$K$2)+1)/('Row Level Master Sheet'!$C$2:$C$1001="Traditional"),ROWS($B$2:B782))),"")</f>
        <v/>
      </c>
    </row>
    <row r="783" spans="1:2" x14ac:dyDescent="0.35">
      <c r="A783" t="str" cm="1">
        <f t="array" ref="A783">IFERROR(INDEX('Row Level Master Sheet'!$K$2:$K$1001,_xlfn.AGGREGATE(15,6,(ROW('Row Level Master Sheet'!$K$2:$K$1001)-ROW('Row Level Master Sheet'!$K$2)+1)/('Row Level Master Sheet'!$C$2:$C$1001="Digital"),ROWS($A$2:A783))),"")</f>
        <v/>
      </c>
      <c r="B783" s="39" t="str" cm="1">
        <f t="array" ref="B783">IFERROR(INDEX('Row Level Master Sheet'!$K$2:$K$1001,_xlfn.AGGREGATE(15,6,(ROW('Row Level Master Sheet'!$K$2:$K$1001)-ROW('Row Level Master Sheet'!$K$2)+1)/('Row Level Master Sheet'!$C$2:$C$1001="Traditional"),ROWS($B$2:B783))),"")</f>
        <v/>
      </c>
    </row>
    <row r="784" spans="1:2" x14ac:dyDescent="0.35">
      <c r="A784" t="str" cm="1">
        <f t="array" ref="A784">IFERROR(INDEX('Row Level Master Sheet'!$K$2:$K$1001,_xlfn.AGGREGATE(15,6,(ROW('Row Level Master Sheet'!$K$2:$K$1001)-ROW('Row Level Master Sheet'!$K$2)+1)/('Row Level Master Sheet'!$C$2:$C$1001="Digital"),ROWS($A$2:A784))),"")</f>
        <v/>
      </c>
      <c r="B784" s="39" t="str" cm="1">
        <f t="array" ref="B784">IFERROR(INDEX('Row Level Master Sheet'!$K$2:$K$1001,_xlfn.AGGREGATE(15,6,(ROW('Row Level Master Sheet'!$K$2:$K$1001)-ROW('Row Level Master Sheet'!$K$2)+1)/('Row Level Master Sheet'!$C$2:$C$1001="Traditional"),ROWS($B$2:B784))),"")</f>
        <v/>
      </c>
    </row>
    <row r="785" spans="1:2" x14ac:dyDescent="0.35">
      <c r="A785" t="str" cm="1">
        <f t="array" ref="A785">IFERROR(INDEX('Row Level Master Sheet'!$K$2:$K$1001,_xlfn.AGGREGATE(15,6,(ROW('Row Level Master Sheet'!$K$2:$K$1001)-ROW('Row Level Master Sheet'!$K$2)+1)/('Row Level Master Sheet'!$C$2:$C$1001="Digital"),ROWS($A$2:A785))),"")</f>
        <v/>
      </c>
      <c r="B785" s="39" t="str" cm="1">
        <f t="array" ref="B785">IFERROR(INDEX('Row Level Master Sheet'!$K$2:$K$1001,_xlfn.AGGREGATE(15,6,(ROW('Row Level Master Sheet'!$K$2:$K$1001)-ROW('Row Level Master Sheet'!$K$2)+1)/('Row Level Master Sheet'!$C$2:$C$1001="Traditional"),ROWS($B$2:B785))),"")</f>
        <v/>
      </c>
    </row>
    <row r="786" spans="1:2" x14ac:dyDescent="0.35">
      <c r="A786" t="str" cm="1">
        <f t="array" ref="A786">IFERROR(INDEX('Row Level Master Sheet'!$K$2:$K$1001,_xlfn.AGGREGATE(15,6,(ROW('Row Level Master Sheet'!$K$2:$K$1001)-ROW('Row Level Master Sheet'!$K$2)+1)/('Row Level Master Sheet'!$C$2:$C$1001="Digital"),ROWS($A$2:A786))),"")</f>
        <v/>
      </c>
      <c r="B786" s="39" t="str" cm="1">
        <f t="array" ref="B786">IFERROR(INDEX('Row Level Master Sheet'!$K$2:$K$1001,_xlfn.AGGREGATE(15,6,(ROW('Row Level Master Sheet'!$K$2:$K$1001)-ROW('Row Level Master Sheet'!$K$2)+1)/('Row Level Master Sheet'!$C$2:$C$1001="Traditional"),ROWS($B$2:B786))),"")</f>
        <v/>
      </c>
    </row>
    <row r="787" spans="1:2" x14ac:dyDescent="0.35">
      <c r="A787" t="str" cm="1">
        <f t="array" ref="A787">IFERROR(INDEX('Row Level Master Sheet'!$K$2:$K$1001,_xlfn.AGGREGATE(15,6,(ROW('Row Level Master Sheet'!$K$2:$K$1001)-ROW('Row Level Master Sheet'!$K$2)+1)/('Row Level Master Sheet'!$C$2:$C$1001="Digital"),ROWS($A$2:A787))),"")</f>
        <v/>
      </c>
      <c r="B787" s="39" t="str" cm="1">
        <f t="array" ref="B787">IFERROR(INDEX('Row Level Master Sheet'!$K$2:$K$1001,_xlfn.AGGREGATE(15,6,(ROW('Row Level Master Sheet'!$K$2:$K$1001)-ROW('Row Level Master Sheet'!$K$2)+1)/('Row Level Master Sheet'!$C$2:$C$1001="Traditional"),ROWS($B$2:B787))),"")</f>
        <v/>
      </c>
    </row>
    <row r="788" spans="1:2" x14ac:dyDescent="0.35">
      <c r="A788" t="str" cm="1">
        <f t="array" ref="A788">IFERROR(INDEX('Row Level Master Sheet'!$K$2:$K$1001,_xlfn.AGGREGATE(15,6,(ROW('Row Level Master Sheet'!$K$2:$K$1001)-ROW('Row Level Master Sheet'!$K$2)+1)/('Row Level Master Sheet'!$C$2:$C$1001="Digital"),ROWS($A$2:A788))),"")</f>
        <v/>
      </c>
      <c r="B788" s="39" t="str" cm="1">
        <f t="array" ref="B788">IFERROR(INDEX('Row Level Master Sheet'!$K$2:$K$1001,_xlfn.AGGREGATE(15,6,(ROW('Row Level Master Sheet'!$K$2:$K$1001)-ROW('Row Level Master Sheet'!$K$2)+1)/('Row Level Master Sheet'!$C$2:$C$1001="Traditional"),ROWS($B$2:B788))),"")</f>
        <v/>
      </c>
    </row>
    <row r="789" spans="1:2" x14ac:dyDescent="0.35">
      <c r="A789" t="str" cm="1">
        <f t="array" ref="A789">IFERROR(INDEX('Row Level Master Sheet'!$K$2:$K$1001,_xlfn.AGGREGATE(15,6,(ROW('Row Level Master Sheet'!$K$2:$K$1001)-ROW('Row Level Master Sheet'!$K$2)+1)/('Row Level Master Sheet'!$C$2:$C$1001="Digital"),ROWS($A$2:A789))),"")</f>
        <v/>
      </c>
      <c r="B789" s="39" t="str" cm="1">
        <f t="array" ref="B789">IFERROR(INDEX('Row Level Master Sheet'!$K$2:$K$1001,_xlfn.AGGREGATE(15,6,(ROW('Row Level Master Sheet'!$K$2:$K$1001)-ROW('Row Level Master Sheet'!$K$2)+1)/('Row Level Master Sheet'!$C$2:$C$1001="Traditional"),ROWS($B$2:B789))),"")</f>
        <v/>
      </c>
    </row>
    <row r="790" spans="1:2" x14ac:dyDescent="0.35">
      <c r="A790" t="str" cm="1">
        <f t="array" ref="A790">IFERROR(INDEX('Row Level Master Sheet'!$K$2:$K$1001,_xlfn.AGGREGATE(15,6,(ROW('Row Level Master Sheet'!$K$2:$K$1001)-ROW('Row Level Master Sheet'!$K$2)+1)/('Row Level Master Sheet'!$C$2:$C$1001="Digital"),ROWS($A$2:A790))),"")</f>
        <v/>
      </c>
      <c r="B790" s="39" t="str" cm="1">
        <f t="array" ref="B790">IFERROR(INDEX('Row Level Master Sheet'!$K$2:$K$1001,_xlfn.AGGREGATE(15,6,(ROW('Row Level Master Sheet'!$K$2:$K$1001)-ROW('Row Level Master Sheet'!$K$2)+1)/('Row Level Master Sheet'!$C$2:$C$1001="Traditional"),ROWS($B$2:B790))),"")</f>
        <v/>
      </c>
    </row>
    <row r="791" spans="1:2" x14ac:dyDescent="0.35">
      <c r="A791" t="str" cm="1">
        <f t="array" ref="A791">IFERROR(INDEX('Row Level Master Sheet'!$K$2:$K$1001,_xlfn.AGGREGATE(15,6,(ROW('Row Level Master Sheet'!$K$2:$K$1001)-ROW('Row Level Master Sheet'!$K$2)+1)/('Row Level Master Sheet'!$C$2:$C$1001="Digital"),ROWS($A$2:A791))),"")</f>
        <v/>
      </c>
      <c r="B791" s="39" t="str" cm="1">
        <f t="array" ref="B791">IFERROR(INDEX('Row Level Master Sheet'!$K$2:$K$1001,_xlfn.AGGREGATE(15,6,(ROW('Row Level Master Sheet'!$K$2:$K$1001)-ROW('Row Level Master Sheet'!$K$2)+1)/('Row Level Master Sheet'!$C$2:$C$1001="Traditional"),ROWS($B$2:B791))),"")</f>
        <v/>
      </c>
    </row>
    <row r="792" spans="1:2" x14ac:dyDescent="0.35">
      <c r="A792" t="str" cm="1">
        <f t="array" ref="A792">IFERROR(INDEX('Row Level Master Sheet'!$K$2:$K$1001,_xlfn.AGGREGATE(15,6,(ROW('Row Level Master Sheet'!$K$2:$K$1001)-ROW('Row Level Master Sheet'!$K$2)+1)/('Row Level Master Sheet'!$C$2:$C$1001="Digital"),ROWS($A$2:A792))),"")</f>
        <v/>
      </c>
      <c r="B792" s="39" t="str" cm="1">
        <f t="array" ref="B792">IFERROR(INDEX('Row Level Master Sheet'!$K$2:$K$1001,_xlfn.AGGREGATE(15,6,(ROW('Row Level Master Sheet'!$K$2:$K$1001)-ROW('Row Level Master Sheet'!$K$2)+1)/('Row Level Master Sheet'!$C$2:$C$1001="Traditional"),ROWS($B$2:B792))),"")</f>
        <v/>
      </c>
    </row>
    <row r="793" spans="1:2" x14ac:dyDescent="0.35">
      <c r="A793" t="str" cm="1">
        <f t="array" ref="A793">IFERROR(INDEX('Row Level Master Sheet'!$K$2:$K$1001,_xlfn.AGGREGATE(15,6,(ROW('Row Level Master Sheet'!$K$2:$K$1001)-ROW('Row Level Master Sheet'!$K$2)+1)/('Row Level Master Sheet'!$C$2:$C$1001="Digital"),ROWS($A$2:A793))),"")</f>
        <v/>
      </c>
      <c r="B793" s="39" t="str" cm="1">
        <f t="array" ref="B793">IFERROR(INDEX('Row Level Master Sheet'!$K$2:$K$1001,_xlfn.AGGREGATE(15,6,(ROW('Row Level Master Sheet'!$K$2:$K$1001)-ROW('Row Level Master Sheet'!$K$2)+1)/('Row Level Master Sheet'!$C$2:$C$1001="Traditional"),ROWS($B$2:B793))),"")</f>
        <v/>
      </c>
    </row>
    <row r="794" spans="1:2" x14ac:dyDescent="0.35">
      <c r="A794" t="str" cm="1">
        <f t="array" ref="A794">IFERROR(INDEX('Row Level Master Sheet'!$K$2:$K$1001,_xlfn.AGGREGATE(15,6,(ROW('Row Level Master Sheet'!$K$2:$K$1001)-ROW('Row Level Master Sheet'!$K$2)+1)/('Row Level Master Sheet'!$C$2:$C$1001="Digital"),ROWS($A$2:A794))),"")</f>
        <v/>
      </c>
      <c r="B794" s="39" t="str" cm="1">
        <f t="array" ref="B794">IFERROR(INDEX('Row Level Master Sheet'!$K$2:$K$1001,_xlfn.AGGREGATE(15,6,(ROW('Row Level Master Sheet'!$K$2:$K$1001)-ROW('Row Level Master Sheet'!$K$2)+1)/('Row Level Master Sheet'!$C$2:$C$1001="Traditional"),ROWS($B$2:B794))),"")</f>
        <v/>
      </c>
    </row>
    <row r="795" spans="1:2" x14ac:dyDescent="0.35">
      <c r="A795" t="str" cm="1">
        <f t="array" ref="A795">IFERROR(INDEX('Row Level Master Sheet'!$K$2:$K$1001,_xlfn.AGGREGATE(15,6,(ROW('Row Level Master Sheet'!$K$2:$K$1001)-ROW('Row Level Master Sheet'!$K$2)+1)/('Row Level Master Sheet'!$C$2:$C$1001="Digital"),ROWS($A$2:A795))),"")</f>
        <v/>
      </c>
      <c r="B795" s="39" t="str" cm="1">
        <f t="array" ref="B795">IFERROR(INDEX('Row Level Master Sheet'!$K$2:$K$1001,_xlfn.AGGREGATE(15,6,(ROW('Row Level Master Sheet'!$K$2:$K$1001)-ROW('Row Level Master Sheet'!$K$2)+1)/('Row Level Master Sheet'!$C$2:$C$1001="Traditional"),ROWS($B$2:B795))),"")</f>
        <v/>
      </c>
    </row>
    <row r="796" spans="1:2" x14ac:dyDescent="0.35">
      <c r="A796" t="str" cm="1">
        <f t="array" ref="A796">IFERROR(INDEX('Row Level Master Sheet'!$K$2:$K$1001,_xlfn.AGGREGATE(15,6,(ROW('Row Level Master Sheet'!$K$2:$K$1001)-ROW('Row Level Master Sheet'!$K$2)+1)/('Row Level Master Sheet'!$C$2:$C$1001="Digital"),ROWS($A$2:A796))),"")</f>
        <v/>
      </c>
      <c r="B796" s="39" t="str" cm="1">
        <f t="array" ref="B796">IFERROR(INDEX('Row Level Master Sheet'!$K$2:$K$1001,_xlfn.AGGREGATE(15,6,(ROW('Row Level Master Sheet'!$K$2:$K$1001)-ROW('Row Level Master Sheet'!$K$2)+1)/('Row Level Master Sheet'!$C$2:$C$1001="Traditional"),ROWS($B$2:B796))),"")</f>
        <v/>
      </c>
    </row>
    <row r="797" spans="1:2" x14ac:dyDescent="0.35">
      <c r="A797" t="str" cm="1">
        <f t="array" ref="A797">IFERROR(INDEX('Row Level Master Sheet'!$K$2:$K$1001,_xlfn.AGGREGATE(15,6,(ROW('Row Level Master Sheet'!$K$2:$K$1001)-ROW('Row Level Master Sheet'!$K$2)+1)/('Row Level Master Sheet'!$C$2:$C$1001="Digital"),ROWS($A$2:A797))),"")</f>
        <v/>
      </c>
      <c r="B797" s="39" t="str" cm="1">
        <f t="array" ref="B797">IFERROR(INDEX('Row Level Master Sheet'!$K$2:$K$1001,_xlfn.AGGREGATE(15,6,(ROW('Row Level Master Sheet'!$K$2:$K$1001)-ROW('Row Level Master Sheet'!$K$2)+1)/('Row Level Master Sheet'!$C$2:$C$1001="Traditional"),ROWS($B$2:B797))),"")</f>
        <v/>
      </c>
    </row>
    <row r="798" spans="1:2" x14ac:dyDescent="0.35">
      <c r="A798" t="str" cm="1">
        <f t="array" ref="A798">IFERROR(INDEX('Row Level Master Sheet'!$K$2:$K$1001,_xlfn.AGGREGATE(15,6,(ROW('Row Level Master Sheet'!$K$2:$K$1001)-ROW('Row Level Master Sheet'!$K$2)+1)/('Row Level Master Sheet'!$C$2:$C$1001="Digital"),ROWS($A$2:A798))),"")</f>
        <v/>
      </c>
      <c r="B798" s="39" t="str" cm="1">
        <f t="array" ref="B798">IFERROR(INDEX('Row Level Master Sheet'!$K$2:$K$1001,_xlfn.AGGREGATE(15,6,(ROW('Row Level Master Sheet'!$K$2:$K$1001)-ROW('Row Level Master Sheet'!$K$2)+1)/('Row Level Master Sheet'!$C$2:$C$1001="Traditional"),ROWS($B$2:B798))),"")</f>
        <v/>
      </c>
    </row>
    <row r="799" spans="1:2" x14ac:dyDescent="0.35">
      <c r="A799" t="str" cm="1">
        <f t="array" ref="A799">IFERROR(INDEX('Row Level Master Sheet'!$K$2:$K$1001,_xlfn.AGGREGATE(15,6,(ROW('Row Level Master Sheet'!$K$2:$K$1001)-ROW('Row Level Master Sheet'!$K$2)+1)/('Row Level Master Sheet'!$C$2:$C$1001="Digital"),ROWS($A$2:A799))),"")</f>
        <v/>
      </c>
      <c r="B799" s="39" t="str" cm="1">
        <f t="array" ref="B799">IFERROR(INDEX('Row Level Master Sheet'!$K$2:$K$1001,_xlfn.AGGREGATE(15,6,(ROW('Row Level Master Sheet'!$K$2:$K$1001)-ROW('Row Level Master Sheet'!$K$2)+1)/('Row Level Master Sheet'!$C$2:$C$1001="Traditional"),ROWS($B$2:B799))),"")</f>
        <v/>
      </c>
    </row>
    <row r="800" spans="1:2" x14ac:dyDescent="0.35">
      <c r="A800" t="str" cm="1">
        <f t="array" ref="A800">IFERROR(INDEX('Row Level Master Sheet'!$K$2:$K$1001,_xlfn.AGGREGATE(15,6,(ROW('Row Level Master Sheet'!$K$2:$K$1001)-ROW('Row Level Master Sheet'!$K$2)+1)/('Row Level Master Sheet'!$C$2:$C$1001="Digital"),ROWS($A$2:A800))),"")</f>
        <v/>
      </c>
      <c r="B800" s="39" t="str" cm="1">
        <f t="array" ref="B800">IFERROR(INDEX('Row Level Master Sheet'!$K$2:$K$1001,_xlfn.AGGREGATE(15,6,(ROW('Row Level Master Sheet'!$K$2:$K$1001)-ROW('Row Level Master Sheet'!$K$2)+1)/('Row Level Master Sheet'!$C$2:$C$1001="Traditional"),ROWS($B$2:B800))),"")</f>
        <v/>
      </c>
    </row>
    <row r="801" spans="1:2" x14ac:dyDescent="0.35">
      <c r="A801" t="str" cm="1">
        <f t="array" ref="A801">IFERROR(INDEX('Row Level Master Sheet'!$K$2:$K$1001,_xlfn.AGGREGATE(15,6,(ROW('Row Level Master Sheet'!$K$2:$K$1001)-ROW('Row Level Master Sheet'!$K$2)+1)/('Row Level Master Sheet'!$C$2:$C$1001="Digital"),ROWS($A$2:A801))),"")</f>
        <v/>
      </c>
      <c r="B801" s="39" t="str" cm="1">
        <f t="array" ref="B801">IFERROR(INDEX('Row Level Master Sheet'!$K$2:$K$1001,_xlfn.AGGREGATE(15,6,(ROW('Row Level Master Sheet'!$K$2:$K$1001)-ROW('Row Level Master Sheet'!$K$2)+1)/('Row Level Master Sheet'!$C$2:$C$1001="Traditional"),ROWS($B$2:B801))),"")</f>
        <v/>
      </c>
    </row>
    <row r="802" spans="1:2" x14ac:dyDescent="0.35">
      <c r="A802" t="str" cm="1">
        <f t="array" ref="A802">IFERROR(INDEX('Row Level Master Sheet'!$K$2:$K$1001,_xlfn.AGGREGATE(15,6,(ROW('Row Level Master Sheet'!$K$2:$K$1001)-ROW('Row Level Master Sheet'!$K$2)+1)/('Row Level Master Sheet'!$C$2:$C$1001="Digital"),ROWS($A$2:A802))),"")</f>
        <v/>
      </c>
      <c r="B802" s="39" t="str" cm="1">
        <f t="array" ref="B802">IFERROR(INDEX('Row Level Master Sheet'!$K$2:$K$1001,_xlfn.AGGREGATE(15,6,(ROW('Row Level Master Sheet'!$K$2:$K$1001)-ROW('Row Level Master Sheet'!$K$2)+1)/('Row Level Master Sheet'!$C$2:$C$1001="Traditional"),ROWS($B$2:B802))),"")</f>
        <v/>
      </c>
    </row>
    <row r="803" spans="1:2" x14ac:dyDescent="0.35">
      <c r="A803" t="str" cm="1">
        <f t="array" ref="A803">IFERROR(INDEX('Row Level Master Sheet'!$K$2:$K$1001,_xlfn.AGGREGATE(15,6,(ROW('Row Level Master Sheet'!$K$2:$K$1001)-ROW('Row Level Master Sheet'!$K$2)+1)/('Row Level Master Sheet'!$C$2:$C$1001="Digital"),ROWS($A$2:A803))),"")</f>
        <v/>
      </c>
      <c r="B803" s="39" t="str" cm="1">
        <f t="array" ref="B803">IFERROR(INDEX('Row Level Master Sheet'!$K$2:$K$1001,_xlfn.AGGREGATE(15,6,(ROW('Row Level Master Sheet'!$K$2:$K$1001)-ROW('Row Level Master Sheet'!$K$2)+1)/('Row Level Master Sheet'!$C$2:$C$1001="Traditional"),ROWS($B$2:B803))),"")</f>
        <v/>
      </c>
    </row>
    <row r="804" spans="1:2" x14ac:dyDescent="0.35">
      <c r="A804" t="str" cm="1">
        <f t="array" ref="A804">IFERROR(INDEX('Row Level Master Sheet'!$K$2:$K$1001,_xlfn.AGGREGATE(15,6,(ROW('Row Level Master Sheet'!$K$2:$K$1001)-ROW('Row Level Master Sheet'!$K$2)+1)/('Row Level Master Sheet'!$C$2:$C$1001="Digital"),ROWS($A$2:A804))),"")</f>
        <v/>
      </c>
      <c r="B804" s="39" t="str" cm="1">
        <f t="array" ref="B804">IFERROR(INDEX('Row Level Master Sheet'!$K$2:$K$1001,_xlfn.AGGREGATE(15,6,(ROW('Row Level Master Sheet'!$K$2:$K$1001)-ROW('Row Level Master Sheet'!$K$2)+1)/('Row Level Master Sheet'!$C$2:$C$1001="Traditional"),ROWS($B$2:B804))),"")</f>
        <v/>
      </c>
    </row>
    <row r="805" spans="1:2" x14ac:dyDescent="0.35">
      <c r="A805" t="str" cm="1">
        <f t="array" ref="A805">IFERROR(INDEX('Row Level Master Sheet'!$K$2:$K$1001,_xlfn.AGGREGATE(15,6,(ROW('Row Level Master Sheet'!$K$2:$K$1001)-ROW('Row Level Master Sheet'!$K$2)+1)/('Row Level Master Sheet'!$C$2:$C$1001="Digital"),ROWS($A$2:A805))),"")</f>
        <v/>
      </c>
      <c r="B805" s="39" t="str" cm="1">
        <f t="array" ref="B805">IFERROR(INDEX('Row Level Master Sheet'!$K$2:$K$1001,_xlfn.AGGREGATE(15,6,(ROW('Row Level Master Sheet'!$K$2:$K$1001)-ROW('Row Level Master Sheet'!$K$2)+1)/('Row Level Master Sheet'!$C$2:$C$1001="Traditional"),ROWS($B$2:B805))),"")</f>
        <v/>
      </c>
    </row>
    <row r="806" spans="1:2" x14ac:dyDescent="0.35">
      <c r="A806" t="str" cm="1">
        <f t="array" ref="A806">IFERROR(INDEX('Row Level Master Sheet'!$K$2:$K$1001,_xlfn.AGGREGATE(15,6,(ROW('Row Level Master Sheet'!$K$2:$K$1001)-ROW('Row Level Master Sheet'!$K$2)+1)/('Row Level Master Sheet'!$C$2:$C$1001="Digital"),ROWS($A$2:A806))),"")</f>
        <v/>
      </c>
      <c r="B806" s="39" t="str" cm="1">
        <f t="array" ref="B806">IFERROR(INDEX('Row Level Master Sheet'!$K$2:$K$1001,_xlfn.AGGREGATE(15,6,(ROW('Row Level Master Sheet'!$K$2:$K$1001)-ROW('Row Level Master Sheet'!$K$2)+1)/('Row Level Master Sheet'!$C$2:$C$1001="Traditional"),ROWS($B$2:B806))),"")</f>
        <v/>
      </c>
    </row>
    <row r="807" spans="1:2" x14ac:dyDescent="0.35">
      <c r="A807" t="str" cm="1">
        <f t="array" ref="A807">IFERROR(INDEX('Row Level Master Sheet'!$K$2:$K$1001,_xlfn.AGGREGATE(15,6,(ROW('Row Level Master Sheet'!$K$2:$K$1001)-ROW('Row Level Master Sheet'!$K$2)+1)/('Row Level Master Sheet'!$C$2:$C$1001="Digital"),ROWS($A$2:A807))),"")</f>
        <v/>
      </c>
      <c r="B807" s="39" t="str" cm="1">
        <f t="array" ref="B807">IFERROR(INDEX('Row Level Master Sheet'!$K$2:$K$1001,_xlfn.AGGREGATE(15,6,(ROW('Row Level Master Sheet'!$K$2:$K$1001)-ROW('Row Level Master Sheet'!$K$2)+1)/('Row Level Master Sheet'!$C$2:$C$1001="Traditional"),ROWS($B$2:B807))),"")</f>
        <v/>
      </c>
    </row>
    <row r="808" spans="1:2" x14ac:dyDescent="0.35">
      <c r="A808" t="str" cm="1">
        <f t="array" ref="A808">IFERROR(INDEX('Row Level Master Sheet'!$K$2:$K$1001,_xlfn.AGGREGATE(15,6,(ROW('Row Level Master Sheet'!$K$2:$K$1001)-ROW('Row Level Master Sheet'!$K$2)+1)/('Row Level Master Sheet'!$C$2:$C$1001="Digital"),ROWS($A$2:A808))),"")</f>
        <v/>
      </c>
      <c r="B808" s="39" t="str" cm="1">
        <f t="array" ref="B808">IFERROR(INDEX('Row Level Master Sheet'!$K$2:$K$1001,_xlfn.AGGREGATE(15,6,(ROW('Row Level Master Sheet'!$K$2:$K$1001)-ROW('Row Level Master Sheet'!$K$2)+1)/('Row Level Master Sheet'!$C$2:$C$1001="Traditional"),ROWS($B$2:B808))),"")</f>
        <v/>
      </c>
    </row>
    <row r="809" spans="1:2" x14ac:dyDescent="0.35">
      <c r="A809" t="str" cm="1">
        <f t="array" ref="A809">IFERROR(INDEX('Row Level Master Sheet'!$K$2:$K$1001,_xlfn.AGGREGATE(15,6,(ROW('Row Level Master Sheet'!$K$2:$K$1001)-ROW('Row Level Master Sheet'!$K$2)+1)/('Row Level Master Sheet'!$C$2:$C$1001="Digital"),ROWS($A$2:A809))),"")</f>
        <v/>
      </c>
      <c r="B809" s="39" t="str" cm="1">
        <f t="array" ref="B809">IFERROR(INDEX('Row Level Master Sheet'!$K$2:$K$1001,_xlfn.AGGREGATE(15,6,(ROW('Row Level Master Sheet'!$K$2:$K$1001)-ROW('Row Level Master Sheet'!$K$2)+1)/('Row Level Master Sheet'!$C$2:$C$1001="Traditional"),ROWS($B$2:B809))),"")</f>
        <v/>
      </c>
    </row>
    <row r="810" spans="1:2" x14ac:dyDescent="0.35">
      <c r="A810" t="str" cm="1">
        <f t="array" ref="A810">IFERROR(INDEX('Row Level Master Sheet'!$K$2:$K$1001,_xlfn.AGGREGATE(15,6,(ROW('Row Level Master Sheet'!$K$2:$K$1001)-ROW('Row Level Master Sheet'!$K$2)+1)/('Row Level Master Sheet'!$C$2:$C$1001="Digital"),ROWS($A$2:A810))),"")</f>
        <v/>
      </c>
      <c r="B810" s="39" t="str" cm="1">
        <f t="array" ref="B810">IFERROR(INDEX('Row Level Master Sheet'!$K$2:$K$1001,_xlfn.AGGREGATE(15,6,(ROW('Row Level Master Sheet'!$K$2:$K$1001)-ROW('Row Level Master Sheet'!$K$2)+1)/('Row Level Master Sheet'!$C$2:$C$1001="Traditional"),ROWS($B$2:B810))),"")</f>
        <v/>
      </c>
    </row>
    <row r="811" spans="1:2" x14ac:dyDescent="0.35">
      <c r="A811" t="str" cm="1">
        <f t="array" ref="A811">IFERROR(INDEX('Row Level Master Sheet'!$K$2:$K$1001,_xlfn.AGGREGATE(15,6,(ROW('Row Level Master Sheet'!$K$2:$K$1001)-ROW('Row Level Master Sheet'!$K$2)+1)/('Row Level Master Sheet'!$C$2:$C$1001="Digital"),ROWS($A$2:A811))),"")</f>
        <v/>
      </c>
      <c r="B811" s="39" t="str" cm="1">
        <f t="array" ref="B811">IFERROR(INDEX('Row Level Master Sheet'!$K$2:$K$1001,_xlfn.AGGREGATE(15,6,(ROW('Row Level Master Sheet'!$K$2:$K$1001)-ROW('Row Level Master Sheet'!$K$2)+1)/('Row Level Master Sheet'!$C$2:$C$1001="Traditional"),ROWS($B$2:B811))),"")</f>
        <v/>
      </c>
    </row>
    <row r="812" spans="1:2" x14ac:dyDescent="0.35">
      <c r="A812" t="str" cm="1">
        <f t="array" ref="A812">IFERROR(INDEX('Row Level Master Sheet'!$K$2:$K$1001,_xlfn.AGGREGATE(15,6,(ROW('Row Level Master Sheet'!$K$2:$K$1001)-ROW('Row Level Master Sheet'!$K$2)+1)/('Row Level Master Sheet'!$C$2:$C$1001="Digital"),ROWS($A$2:A812))),"")</f>
        <v/>
      </c>
      <c r="B812" s="39" t="str" cm="1">
        <f t="array" ref="B812">IFERROR(INDEX('Row Level Master Sheet'!$K$2:$K$1001,_xlfn.AGGREGATE(15,6,(ROW('Row Level Master Sheet'!$K$2:$K$1001)-ROW('Row Level Master Sheet'!$K$2)+1)/('Row Level Master Sheet'!$C$2:$C$1001="Traditional"),ROWS($B$2:B812))),"")</f>
        <v/>
      </c>
    </row>
    <row r="813" spans="1:2" x14ac:dyDescent="0.35">
      <c r="A813" t="str" cm="1">
        <f t="array" ref="A813">IFERROR(INDEX('Row Level Master Sheet'!$K$2:$K$1001,_xlfn.AGGREGATE(15,6,(ROW('Row Level Master Sheet'!$K$2:$K$1001)-ROW('Row Level Master Sheet'!$K$2)+1)/('Row Level Master Sheet'!$C$2:$C$1001="Digital"),ROWS($A$2:A813))),"")</f>
        <v/>
      </c>
      <c r="B813" s="39" t="str" cm="1">
        <f t="array" ref="B813">IFERROR(INDEX('Row Level Master Sheet'!$K$2:$K$1001,_xlfn.AGGREGATE(15,6,(ROW('Row Level Master Sheet'!$K$2:$K$1001)-ROW('Row Level Master Sheet'!$K$2)+1)/('Row Level Master Sheet'!$C$2:$C$1001="Traditional"),ROWS($B$2:B813))),"")</f>
        <v/>
      </c>
    </row>
    <row r="814" spans="1:2" x14ac:dyDescent="0.35">
      <c r="A814" t="str" cm="1">
        <f t="array" ref="A814">IFERROR(INDEX('Row Level Master Sheet'!$K$2:$K$1001,_xlfn.AGGREGATE(15,6,(ROW('Row Level Master Sheet'!$K$2:$K$1001)-ROW('Row Level Master Sheet'!$K$2)+1)/('Row Level Master Sheet'!$C$2:$C$1001="Digital"),ROWS($A$2:A814))),"")</f>
        <v/>
      </c>
      <c r="B814" s="39" t="str" cm="1">
        <f t="array" ref="B814">IFERROR(INDEX('Row Level Master Sheet'!$K$2:$K$1001,_xlfn.AGGREGATE(15,6,(ROW('Row Level Master Sheet'!$K$2:$K$1001)-ROW('Row Level Master Sheet'!$K$2)+1)/('Row Level Master Sheet'!$C$2:$C$1001="Traditional"),ROWS($B$2:B814))),"")</f>
        <v/>
      </c>
    </row>
    <row r="815" spans="1:2" x14ac:dyDescent="0.35">
      <c r="A815" t="str" cm="1">
        <f t="array" ref="A815">IFERROR(INDEX('Row Level Master Sheet'!$K$2:$K$1001,_xlfn.AGGREGATE(15,6,(ROW('Row Level Master Sheet'!$K$2:$K$1001)-ROW('Row Level Master Sheet'!$K$2)+1)/('Row Level Master Sheet'!$C$2:$C$1001="Digital"),ROWS($A$2:A815))),"")</f>
        <v/>
      </c>
      <c r="B815" s="39" t="str" cm="1">
        <f t="array" ref="B815">IFERROR(INDEX('Row Level Master Sheet'!$K$2:$K$1001,_xlfn.AGGREGATE(15,6,(ROW('Row Level Master Sheet'!$K$2:$K$1001)-ROW('Row Level Master Sheet'!$K$2)+1)/('Row Level Master Sheet'!$C$2:$C$1001="Traditional"),ROWS($B$2:B815))),"")</f>
        <v/>
      </c>
    </row>
    <row r="816" spans="1:2" x14ac:dyDescent="0.35">
      <c r="A816" t="str" cm="1">
        <f t="array" ref="A816">IFERROR(INDEX('Row Level Master Sheet'!$K$2:$K$1001,_xlfn.AGGREGATE(15,6,(ROW('Row Level Master Sheet'!$K$2:$K$1001)-ROW('Row Level Master Sheet'!$K$2)+1)/('Row Level Master Sheet'!$C$2:$C$1001="Digital"),ROWS($A$2:A816))),"")</f>
        <v/>
      </c>
      <c r="B816" s="39" t="str" cm="1">
        <f t="array" ref="B816">IFERROR(INDEX('Row Level Master Sheet'!$K$2:$K$1001,_xlfn.AGGREGATE(15,6,(ROW('Row Level Master Sheet'!$K$2:$K$1001)-ROW('Row Level Master Sheet'!$K$2)+1)/('Row Level Master Sheet'!$C$2:$C$1001="Traditional"),ROWS($B$2:B816))),"")</f>
        <v/>
      </c>
    </row>
    <row r="817" spans="1:2" x14ac:dyDescent="0.35">
      <c r="A817" t="str" cm="1">
        <f t="array" ref="A817">IFERROR(INDEX('Row Level Master Sheet'!$K$2:$K$1001,_xlfn.AGGREGATE(15,6,(ROW('Row Level Master Sheet'!$K$2:$K$1001)-ROW('Row Level Master Sheet'!$K$2)+1)/('Row Level Master Sheet'!$C$2:$C$1001="Digital"),ROWS($A$2:A817))),"")</f>
        <v/>
      </c>
      <c r="B817" s="39" t="str" cm="1">
        <f t="array" ref="B817">IFERROR(INDEX('Row Level Master Sheet'!$K$2:$K$1001,_xlfn.AGGREGATE(15,6,(ROW('Row Level Master Sheet'!$K$2:$K$1001)-ROW('Row Level Master Sheet'!$K$2)+1)/('Row Level Master Sheet'!$C$2:$C$1001="Traditional"),ROWS($B$2:B817))),"")</f>
        <v/>
      </c>
    </row>
    <row r="818" spans="1:2" x14ac:dyDescent="0.35">
      <c r="A818" t="str" cm="1">
        <f t="array" ref="A818">IFERROR(INDEX('Row Level Master Sheet'!$K$2:$K$1001,_xlfn.AGGREGATE(15,6,(ROW('Row Level Master Sheet'!$K$2:$K$1001)-ROW('Row Level Master Sheet'!$K$2)+1)/('Row Level Master Sheet'!$C$2:$C$1001="Digital"),ROWS($A$2:A818))),"")</f>
        <v/>
      </c>
      <c r="B818" s="39" t="str" cm="1">
        <f t="array" ref="B818">IFERROR(INDEX('Row Level Master Sheet'!$K$2:$K$1001,_xlfn.AGGREGATE(15,6,(ROW('Row Level Master Sheet'!$K$2:$K$1001)-ROW('Row Level Master Sheet'!$K$2)+1)/('Row Level Master Sheet'!$C$2:$C$1001="Traditional"),ROWS($B$2:B818))),"")</f>
        <v/>
      </c>
    </row>
    <row r="819" spans="1:2" x14ac:dyDescent="0.35">
      <c r="A819" t="str" cm="1">
        <f t="array" ref="A819">IFERROR(INDEX('Row Level Master Sheet'!$K$2:$K$1001,_xlfn.AGGREGATE(15,6,(ROW('Row Level Master Sheet'!$K$2:$K$1001)-ROW('Row Level Master Sheet'!$K$2)+1)/('Row Level Master Sheet'!$C$2:$C$1001="Digital"),ROWS($A$2:A819))),"")</f>
        <v/>
      </c>
      <c r="B819" s="39" t="str" cm="1">
        <f t="array" ref="B819">IFERROR(INDEX('Row Level Master Sheet'!$K$2:$K$1001,_xlfn.AGGREGATE(15,6,(ROW('Row Level Master Sheet'!$K$2:$K$1001)-ROW('Row Level Master Sheet'!$K$2)+1)/('Row Level Master Sheet'!$C$2:$C$1001="Traditional"),ROWS($B$2:B819))),"")</f>
        <v/>
      </c>
    </row>
    <row r="820" spans="1:2" x14ac:dyDescent="0.35">
      <c r="A820" t="str" cm="1">
        <f t="array" ref="A820">IFERROR(INDEX('Row Level Master Sheet'!$K$2:$K$1001,_xlfn.AGGREGATE(15,6,(ROW('Row Level Master Sheet'!$K$2:$K$1001)-ROW('Row Level Master Sheet'!$K$2)+1)/('Row Level Master Sheet'!$C$2:$C$1001="Digital"),ROWS($A$2:A820))),"")</f>
        <v/>
      </c>
      <c r="B820" s="39" t="str" cm="1">
        <f t="array" ref="B820">IFERROR(INDEX('Row Level Master Sheet'!$K$2:$K$1001,_xlfn.AGGREGATE(15,6,(ROW('Row Level Master Sheet'!$K$2:$K$1001)-ROW('Row Level Master Sheet'!$K$2)+1)/('Row Level Master Sheet'!$C$2:$C$1001="Traditional"),ROWS($B$2:B820))),"")</f>
        <v/>
      </c>
    </row>
    <row r="821" spans="1:2" x14ac:dyDescent="0.35">
      <c r="A821" t="str" cm="1">
        <f t="array" ref="A821">IFERROR(INDEX('Row Level Master Sheet'!$K$2:$K$1001,_xlfn.AGGREGATE(15,6,(ROW('Row Level Master Sheet'!$K$2:$K$1001)-ROW('Row Level Master Sheet'!$K$2)+1)/('Row Level Master Sheet'!$C$2:$C$1001="Digital"),ROWS($A$2:A821))),"")</f>
        <v/>
      </c>
      <c r="B821" s="39" t="str" cm="1">
        <f t="array" ref="B821">IFERROR(INDEX('Row Level Master Sheet'!$K$2:$K$1001,_xlfn.AGGREGATE(15,6,(ROW('Row Level Master Sheet'!$K$2:$K$1001)-ROW('Row Level Master Sheet'!$K$2)+1)/('Row Level Master Sheet'!$C$2:$C$1001="Traditional"),ROWS($B$2:B821))),"")</f>
        <v/>
      </c>
    </row>
    <row r="822" spans="1:2" x14ac:dyDescent="0.35">
      <c r="A822" t="str" cm="1">
        <f t="array" ref="A822">IFERROR(INDEX('Row Level Master Sheet'!$K$2:$K$1001,_xlfn.AGGREGATE(15,6,(ROW('Row Level Master Sheet'!$K$2:$K$1001)-ROW('Row Level Master Sheet'!$K$2)+1)/('Row Level Master Sheet'!$C$2:$C$1001="Digital"),ROWS($A$2:A822))),"")</f>
        <v/>
      </c>
      <c r="B822" s="39" t="str" cm="1">
        <f t="array" ref="B822">IFERROR(INDEX('Row Level Master Sheet'!$K$2:$K$1001,_xlfn.AGGREGATE(15,6,(ROW('Row Level Master Sheet'!$K$2:$K$1001)-ROW('Row Level Master Sheet'!$K$2)+1)/('Row Level Master Sheet'!$C$2:$C$1001="Traditional"),ROWS($B$2:B822))),"")</f>
        <v/>
      </c>
    </row>
    <row r="823" spans="1:2" x14ac:dyDescent="0.35">
      <c r="A823" t="str" cm="1">
        <f t="array" ref="A823">IFERROR(INDEX('Row Level Master Sheet'!$K$2:$K$1001,_xlfn.AGGREGATE(15,6,(ROW('Row Level Master Sheet'!$K$2:$K$1001)-ROW('Row Level Master Sheet'!$K$2)+1)/('Row Level Master Sheet'!$C$2:$C$1001="Digital"),ROWS($A$2:A823))),"")</f>
        <v/>
      </c>
      <c r="B823" s="39" t="str" cm="1">
        <f t="array" ref="B823">IFERROR(INDEX('Row Level Master Sheet'!$K$2:$K$1001,_xlfn.AGGREGATE(15,6,(ROW('Row Level Master Sheet'!$K$2:$K$1001)-ROW('Row Level Master Sheet'!$K$2)+1)/('Row Level Master Sheet'!$C$2:$C$1001="Traditional"),ROWS($B$2:B823))),"")</f>
        <v/>
      </c>
    </row>
    <row r="824" spans="1:2" x14ac:dyDescent="0.35">
      <c r="A824" t="str" cm="1">
        <f t="array" ref="A824">IFERROR(INDEX('Row Level Master Sheet'!$K$2:$K$1001,_xlfn.AGGREGATE(15,6,(ROW('Row Level Master Sheet'!$K$2:$K$1001)-ROW('Row Level Master Sheet'!$K$2)+1)/('Row Level Master Sheet'!$C$2:$C$1001="Digital"),ROWS($A$2:A824))),"")</f>
        <v/>
      </c>
      <c r="B824" s="39" t="str" cm="1">
        <f t="array" ref="B824">IFERROR(INDEX('Row Level Master Sheet'!$K$2:$K$1001,_xlfn.AGGREGATE(15,6,(ROW('Row Level Master Sheet'!$K$2:$K$1001)-ROW('Row Level Master Sheet'!$K$2)+1)/('Row Level Master Sheet'!$C$2:$C$1001="Traditional"),ROWS($B$2:B824))),"")</f>
        <v/>
      </c>
    </row>
    <row r="825" spans="1:2" x14ac:dyDescent="0.35">
      <c r="A825" t="str" cm="1">
        <f t="array" ref="A825">IFERROR(INDEX('Row Level Master Sheet'!$K$2:$K$1001,_xlfn.AGGREGATE(15,6,(ROW('Row Level Master Sheet'!$K$2:$K$1001)-ROW('Row Level Master Sheet'!$K$2)+1)/('Row Level Master Sheet'!$C$2:$C$1001="Digital"),ROWS($A$2:A825))),"")</f>
        <v/>
      </c>
      <c r="B825" s="39" t="str" cm="1">
        <f t="array" ref="B825">IFERROR(INDEX('Row Level Master Sheet'!$K$2:$K$1001,_xlfn.AGGREGATE(15,6,(ROW('Row Level Master Sheet'!$K$2:$K$1001)-ROW('Row Level Master Sheet'!$K$2)+1)/('Row Level Master Sheet'!$C$2:$C$1001="Traditional"),ROWS($B$2:B825))),"")</f>
        <v/>
      </c>
    </row>
    <row r="826" spans="1:2" x14ac:dyDescent="0.35">
      <c r="A826" t="str" cm="1">
        <f t="array" ref="A826">IFERROR(INDEX('Row Level Master Sheet'!$K$2:$K$1001,_xlfn.AGGREGATE(15,6,(ROW('Row Level Master Sheet'!$K$2:$K$1001)-ROW('Row Level Master Sheet'!$K$2)+1)/('Row Level Master Sheet'!$C$2:$C$1001="Digital"),ROWS($A$2:A826))),"")</f>
        <v/>
      </c>
      <c r="B826" s="39" t="str" cm="1">
        <f t="array" ref="B826">IFERROR(INDEX('Row Level Master Sheet'!$K$2:$K$1001,_xlfn.AGGREGATE(15,6,(ROW('Row Level Master Sheet'!$K$2:$K$1001)-ROW('Row Level Master Sheet'!$K$2)+1)/('Row Level Master Sheet'!$C$2:$C$1001="Traditional"),ROWS($B$2:B826))),"")</f>
        <v/>
      </c>
    </row>
    <row r="827" spans="1:2" x14ac:dyDescent="0.35">
      <c r="A827" t="str" cm="1">
        <f t="array" ref="A827">IFERROR(INDEX('Row Level Master Sheet'!$K$2:$K$1001,_xlfn.AGGREGATE(15,6,(ROW('Row Level Master Sheet'!$K$2:$K$1001)-ROW('Row Level Master Sheet'!$K$2)+1)/('Row Level Master Sheet'!$C$2:$C$1001="Digital"),ROWS($A$2:A827))),"")</f>
        <v/>
      </c>
      <c r="B827" s="39" t="str" cm="1">
        <f t="array" ref="B827">IFERROR(INDEX('Row Level Master Sheet'!$K$2:$K$1001,_xlfn.AGGREGATE(15,6,(ROW('Row Level Master Sheet'!$K$2:$K$1001)-ROW('Row Level Master Sheet'!$K$2)+1)/('Row Level Master Sheet'!$C$2:$C$1001="Traditional"),ROWS($B$2:B827))),"")</f>
        <v/>
      </c>
    </row>
    <row r="828" spans="1:2" x14ac:dyDescent="0.35">
      <c r="A828" t="str" cm="1">
        <f t="array" ref="A828">IFERROR(INDEX('Row Level Master Sheet'!$K$2:$K$1001,_xlfn.AGGREGATE(15,6,(ROW('Row Level Master Sheet'!$K$2:$K$1001)-ROW('Row Level Master Sheet'!$K$2)+1)/('Row Level Master Sheet'!$C$2:$C$1001="Digital"),ROWS($A$2:A828))),"")</f>
        <v/>
      </c>
      <c r="B828" s="39" t="str" cm="1">
        <f t="array" ref="B828">IFERROR(INDEX('Row Level Master Sheet'!$K$2:$K$1001,_xlfn.AGGREGATE(15,6,(ROW('Row Level Master Sheet'!$K$2:$K$1001)-ROW('Row Level Master Sheet'!$K$2)+1)/('Row Level Master Sheet'!$C$2:$C$1001="Traditional"),ROWS($B$2:B828))),"")</f>
        <v/>
      </c>
    </row>
    <row r="829" spans="1:2" x14ac:dyDescent="0.35">
      <c r="A829" t="str" cm="1">
        <f t="array" ref="A829">IFERROR(INDEX('Row Level Master Sheet'!$K$2:$K$1001,_xlfn.AGGREGATE(15,6,(ROW('Row Level Master Sheet'!$K$2:$K$1001)-ROW('Row Level Master Sheet'!$K$2)+1)/('Row Level Master Sheet'!$C$2:$C$1001="Digital"),ROWS($A$2:A829))),"")</f>
        <v/>
      </c>
      <c r="B829" s="39" t="str" cm="1">
        <f t="array" ref="B829">IFERROR(INDEX('Row Level Master Sheet'!$K$2:$K$1001,_xlfn.AGGREGATE(15,6,(ROW('Row Level Master Sheet'!$K$2:$K$1001)-ROW('Row Level Master Sheet'!$K$2)+1)/('Row Level Master Sheet'!$C$2:$C$1001="Traditional"),ROWS($B$2:B829))),"")</f>
        <v/>
      </c>
    </row>
    <row r="830" spans="1:2" x14ac:dyDescent="0.35">
      <c r="A830" t="str" cm="1">
        <f t="array" ref="A830">IFERROR(INDEX('Row Level Master Sheet'!$K$2:$K$1001,_xlfn.AGGREGATE(15,6,(ROW('Row Level Master Sheet'!$K$2:$K$1001)-ROW('Row Level Master Sheet'!$K$2)+1)/('Row Level Master Sheet'!$C$2:$C$1001="Digital"),ROWS($A$2:A830))),"")</f>
        <v/>
      </c>
      <c r="B830" s="39" t="str" cm="1">
        <f t="array" ref="B830">IFERROR(INDEX('Row Level Master Sheet'!$K$2:$K$1001,_xlfn.AGGREGATE(15,6,(ROW('Row Level Master Sheet'!$K$2:$K$1001)-ROW('Row Level Master Sheet'!$K$2)+1)/('Row Level Master Sheet'!$C$2:$C$1001="Traditional"),ROWS($B$2:B830))),"")</f>
        <v/>
      </c>
    </row>
    <row r="831" spans="1:2" x14ac:dyDescent="0.35">
      <c r="A831" t="str" cm="1">
        <f t="array" ref="A831">IFERROR(INDEX('Row Level Master Sheet'!$K$2:$K$1001,_xlfn.AGGREGATE(15,6,(ROW('Row Level Master Sheet'!$K$2:$K$1001)-ROW('Row Level Master Sheet'!$K$2)+1)/('Row Level Master Sheet'!$C$2:$C$1001="Digital"),ROWS($A$2:A831))),"")</f>
        <v/>
      </c>
      <c r="B831" s="39" t="str" cm="1">
        <f t="array" ref="B831">IFERROR(INDEX('Row Level Master Sheet'!$K$2:$K$1001,_xlfn.AGGREGATE(15,6,(ROW('Row Level Master Sheet'!$K$2:$K$1001)-ROW('Row Level Master Sheet'!$K$2)+1)/('Row Level Master Sheet'!$C$2:$C$1001="Traditional"),ROWS($B$2:B831))),"")</f>
        <v/>
      </c>
    </row>
    <row r="832" spans="1:2" x14ac:dyDescent="0.35">
      <c r="A832" t="str" cm="1">
        <f t="array" ref="A832">IFERROR(INDEX('Row Level Master Sheet'!$K$2:$K$1001,_xlfn.AGGREGATE(15,6,(ROW('Row Level Master Sheet'!$K$2:$K$1001)-ROW('Row Level Master Sheet'!$K$2)+1)/('Row Level Master Sheet'!$C$2:$C$1001="Digital"),ROWS($A$2:A832))),"")</f>
        <v/>
      </c>
      <c r="B832" s="39" t="str" cm="1">
        <f t="array" ref="B832">IFERROR(INDEX('Row Level Master Sheet'!$K$2:$K$1001,_xlfn.AGGREGATE(15,6,(ROW('Row Level Master Sheet'!$K$2:$K$1001)-ROW('Row Level Master Sheet'!$K$2)+1)/('Row Level Master Sheet'!$C$2:$C$1001="Traditional"),ROWS($B$2:B832))),"")</f>
        <v/>
      </c>
    </row>
    <row r="833" spans="1:2" x14ac:dyDescent="0.35">
      <c r="A833" t="str" cm="1">
        <f t="array" ref="A833">IFERROR(INDEX('Row Level Master Sheet'!$K$2:$K$1001,_xlfn.AGGREGATE(15,6,(ROW('Row Level Master Sheet'!$K$2:$K$1001)-ROW('Row Level Master Sheet'!$K$2)+1)/('Row Level Master Sheet'!$C$2:$C$1001="Digital"),ROWS($A$2:A833))),"")</f>
        <v/>
      </c>
      <c r="B833" s="39" t="str" cm="1">
        <f t="array" ref="B833">IFERROR(INDEX('Row Level Master Sheet'!$K$2:$K$1001,_xlfn.AGGREGATE(15,6,(ROW('Row Level Master Sheet'!$K$2:$K$1001)-ROW('Row Level Master Sheet'!$K$2)+1)/('Row Level Master Sheet'!$C$2:$C$1001="Traditional"),ROWS($B$2:B833))),"")</f>
        <v/>
      </c>
    </row>
    <row r="834" spans="1:2" x14ac:dyDescent="0.35">
      <c r="A834" t="str" cm="1">
        <f t="array" ref="A834">IFERROR(INDEX('Row Level Master Sheet'!$K$2:$K$1001,_xlfn.AGGREGATE(15,6,(ROW('Row Level Master Sheet'!$K$2:$K$1001)-ROW('Row Level Master Sheet'!$K$2)+1)/('Row Level Master Sheet'!$C$2:$C$1001="Digital"),ROWS($A$2:A834))),"")</f>
        <v/>
      </c>
      <c r="B834" s="39" t="str" cm="1">
        <f t="array" ref="B834">IFERROR(INDEX('Row Level Master Sheet'!$K$2:$K$1001,_xlfn.AGGREGATE(15,6,(ROW('Row Level Master Sheet'!$K$2:$K$1001)-ROW('Row Level Master Sheet'!$K$2)+1)/('Row Level Master Sheet'!$C$2:$C$1001="Traditional"),ROWS($B$2:B834))),"")</f>
        <v/>
      </c>
    </row>
    <row r="835" spans="1:2" x14ac:dyDescent="0.35">
      <c r="A835" t="str" cm="1">
        <f t="array" ref="A835">IFERROR(INDEX('Row Level Master Sheet'!$K$2:$K$1001,_xlfn.AGGREGATE(15,6,(ROW('Row Level Master Sheet'!$K$2:$K$1001)-ROW('Row Level Master Sheet'!$K$2)+1)/('Row Level Master Sheet'!$C$2:$C$1001="Digital"),ROWS($A$2:A835))),"")</f>
        <v/>
      </c>
      <c r="B835" s="39" t="str" cm="1">
        <f t="array" ref="B835">IFERROR(INDEX('Row Level Master Sheet'!$K$2:$K$1001,_xlfn.AGGREGATE(15,6,(ROW('Row Level Master Sheet'!$K$2:$K$1001)-ROW('Row Level Master Sheet'!$K$2)+1)/('Row Level Master Sheet'!$C$2:$C$1001="Traditional"),ROWS($B$2:B835))),"")</f>
        <v/>
      </c>
    </row>
    <row r="836" spans="1:2" x14ac:dyDescent="0.35">
      <c r="A836" t="str" cm="1">
        <f t="array" ref="A836">IFERROR(INDEX('Row Level Master Sheet'!$K$2:$K$1001,_xlfn.AGGREGATE(15,6,(ROW('Row Level Master Sheet'!$K$2:$K$1001)-ROW('Row Level Master Sheet'!$K$2)+1)/('Row Level Master Sheet'!$C$2:$C$1001="Digital"),ROWS($A$2:A836))),"")</f>
        <v/>
      </c>
      <c r="B836" s="39" t="str" cm="1">
        <f t="array" ref="B836">IFERROR(INDEX('Row Level Master Sheet'!$K$2:$K$1001,_xlfn.AGGREGATE(15,6,(ROW('Row Level Master Sheet'!$K$2:$K$1001)-ROW('Row Level Master Sheet'!$K$2)+1)/('Row Level Master Sheet'!$C$2:$C$1001="Traditional"),ROWS($B$2:B836))),"")</f>
        <v/>
      </c>
    </row>
    <row r="837" spans="1:2" x14ac:dyDescent="0.35">
      <c r="A837" t="str" cm="1">
        <f t="array" ref="A837">IFERROR(INDEX('Row Level Master Sheet'!$K$2:$K$1001,_xlfn.AGGREGATE(15,6,(ROW('Row Level Master Sheet'!$K$2:$K$1001)-ROW('Row Level Master Sheet'!$K$2)+1)/('Row Level Master Sheet'!$C$2:$C$1001="Digital"),ROWS($A$2:A837))),"")</f>
        <v/>
      </c>
      <c r="B837" s="39" t="str" cm="1">
        <f t="array" ref="B837">IFERROR(INDEX('Row Level Master Sheet'!$K$2:$K$1001,_xlfn.AGGREGATE(15,6,(ROW('Row Level Master Sheet'!$K$2:$K$1001)-ROW('Row Level Master Sheet'!$K$2)+1)/('Row Level Master Sheet'!$C$2:$C$1001="Traditional"),ROWS($B$2:B837))),"")</f>
        <v/>
      </c>
    </row>
    <row r="838" spans="1:2" x14ac:dyDescent="0.35">
      <c r="A838" t="str" cm="1">
        <f t="array" ref="A838">IFERROR(INDEX('Row Level Master Sheet'!$K$2:$K$1001,_xlfn.AGGREGATE(15,6,(ROW('Row Level Master Sheet'!$K$2:$K$1001)-ROW('Row Level Master Sheet'!$K$2)+1)/('Row Level Master Sheet'!$C$2:$C$1001="Digital"),ROWS($A$2:A838))),"")</f>
        <v/>
      </c>
      <c r="B838" s="39" t="str" cm="1">
        <f t="array" ref="B838">IFERROR(INDEX('Row Level Master Sheet'!$K$2:$K$1001,_xlfn.AGGREGATE(15,6,(ROW('Row Level Master Sheet'!$K$2:$K$1001)-ROW('Row Level Master Sheet'!$K$2)+1)/('Row Level Master Sheet'!$C$2:$C$1001="Traditional"),ROWS($B$2:B838))),"")</f>
        <v/>
      </c>
    </row>
    <row r="839" spans="1:2" x14ac:dyDescent="0.35">
      <c r="A839" t="str" cm="1">
        <f t="array" ref="A839">IFERROR(INDEX('Row Level Master Sheet'!$K$2:$K$1001,_xlfn.AGGREGATE(15,6,(ROW('Row Level Master Sheet'!$K$2:$K$1001)-ROW('Row Level Master Sheet'!$K$2)+1)/('Row Level Master Sheet'!$C$2:$C$1001="Digital"),ROWS($A$2:A839))),"")</f>
        <v/>
      </c>
      <c r="B839" s="39" t="str" cm="1">
        <f t="array" ref="B839">IFERROR(INDEX('Row Level Master Sheet'!$K$2:$K$1001,_xlfn.AGGREGATE(15,6,(ROW('Row Level Master Sheet'!$K$2:$K$1001)-ROW('Row Level Master Sheet'!$K$2)+1)/('Row Level Master Sheet'!$C$2:$C$1001="Traditional"),ROWS($B$2:B839))),"")</f>
        <v/>
      </c>
    </row>
    <row r="840" spans="1:2" x14ac:dyDescent="0.35">
      <c r="A840" t="str" cm="1">
        <f t="array" ref="A840">IFERROR(INDEX('Row Level Master Sheet'!$K$2:$K$1001,_xlfn.AGGREGATE(15,6,(ROW('Row Level Master Sheet'!$K$2:$K$1001)-ROW('Row Level Master Sheet'!$K$2)+1)/('Row Level Master Sheet'!$C$2:$C$1001="Digital"),ROWS($A$2:A840))),"")</f>
        <v/>
      </c>
      <c r="B840" s="39" t="str" cm="1">
        <f t="array" ref="B840">IFERROR(INDEX('Row Level Master Sheet'!$K$2:$K$1001,_xlfn.AGGREGATE(15,6,(ROW('Row Level Master Sheet'!$K$2:$K$1001)-ROW('Row Level Master Sheet'!$K$2)+1)/('Row Level Master Sheet'!$C$2:$C$1001="Traditional"),ROWS($B$2:B840))),"")</f>
        <v/>
      </c>
    </row>
    <row r="841" spans="1:2" x14ac:dyDescent="0.35">
      <c r="A841" t="str" cm="1">
        <f t="array" ref="A841">IFERROR(INDEX('Row Level Master Sheet'!$K$2:$K$1001,_xlfn.AGGREGATE(15,6,(ROW('Row Level Master Sheet'!$K$2:$K$1001)-ROW('Row Level Master Sheet'!$K$2)+1)/('Row Level Master Sheet'!$C$2:$C$1001="Digital"),ROWS($A$2:A841))),"")</f>
        <v/>
      </c>
      <c r="B841" s="39" t="str" cm="1">
        <f t="array" ref="B841">IFERROR(INDEX('Row Level Master Sheet'!$K$2:$K$1001,_xlfn.AGGREGATE(15,6,(ROW('Row Level Master Sheet'!$K$2:$K$1001)-ROW('Row Level Master Sheet'!$K$2)+1)/('Row Level Master Sheet'!$C$2:$C$1001="Traditional"),ROWS($B$2:B841))),"")</f>
        <v/>
      </c>
    </row>
    <row r="842" spans="1:2" x14ac:dyDescent="0.35">
      <c r="A842" t="str" cm="1">
        <f t="array" ref="A842">IFERROR(INDEX('Row Level Master Sheet'!$K$2:$K$1001,_xlfn.AGGREGATE(15,6,(ROW('Row Level Master Sheet'!$K$2:$K$1001)-ROW('Row Level Master Sheet'!$K$2)+1)/('Row Level Master Sheet'!$C$2:$C$1001="Digital"),ROWS($A$2:A842))),"")</f>
        <v/>
      </c>
      <c r="B842" s="39" t="str" cm="1">
        <f t="array" ref="B842">IFERROR(INDEX('Row Level Master Sheet'!$K$2:$K$1001,_xlfn.AGGREGATE(15,6,(ROW('Row Level Master Sheet'!$K$2:$K$1001)-ROW('Row Level Master Sheet'!$K$2)+1)/('Row Level Master Sheet'!$C$2:$C$1001="Traditional"),ROWS($B$2:B842))),"")</f>
        <v/>
      </c>
    </row>
    <row r="843" spans="1:2" x14ac:dyDescent="0.35">
      <c r="A843" t="str" cm="1">
        <f t="array" ref="A843">IFERROR(INDEX('Row Level Master Sheet'!$K$2:$K$1001,_xlfn.AGGREGATE(15,6,(ROW('Row Level Master Sheet'!$K$2:$K$1001)-ROW('Row Level Master Sheet'!$K$2)+1)/('Row Level Master Sheet'!$C$2:$C$1001="Digital"),ROWS($A$2:A843))),"")</f>
        <v/>
      </c>
      <c r="B843" s="39" t="str" cm="1">
        <f t="array" ref="B843">IFERROR(INDEX('Row Level Master Sheet'!$K$2:$K$1001,_xlfn.AGGREGATE(15,6,(ROW('Row Level Master Sheet'!$K$2:$K$1001)-ROW('Row Level Master Sheet'!$K$2)+1)/('Row Level Master Sheet'!$C$2:$C$1001="Traditional"),ROWS($B$2:B843))),"")</f>
        <v/>
      </c>
    </row>
    <row r="844" spans="1:2" x14ac:dyDescent="0.35">
      <c r="A844" t="str" cm="1">
        <f t="array" ref="A844">IFERROR(INDEX('Row Level Master Sheet'!$K$2:$K$1001,_xlfn.AGGREGATE(15,6,(ROW('Row Level Master Sheet'!$K$2:$K$1001)-ROW('Row Level Master Sheet'!$K$2)+1)/('Row Level Master Sheet'!$C$2:$C$1001="Digital"),ROWS($A$2:A844))),"")</f>
        <v/>
      </c>
      <c r="B844" s="39" t="str" cm="1">
        <f t="array" ref="B844">IFERROR(INDEX('Row Level Master Sheet'!$K$2:$K$1001,_xlfn.AGGREGATE(15,6,(ROW('Row Level Master Sheet'!$K$2:$K$1001)-ROW('Row Level Master Sheet'!$K$2)+1)/('Row Level Master Sheet'!$C$2:$C$1001="Traditional"),ROWS($B$2:B844))),"")</f>
        <v/>
      </c>
    </row>
    <row r="845" spans="1:2" x14ac:dyDescent="0.35">
      <c r="A845" t="str" cm="1">
        <f t="array" ref="A845">IFERROR(INDEX('Row Level Master Sheet'!$K$2:$K$1001,_xlfn.AGGREGATE(15,6,(ROW('Row Level Master Sheet'!$K$2:$K$1001)-ROW('Row Level Master Sheet'!$K$2)+1)/('Row Level Master Sheet'!$C$2:$C$1001="Digital"),ROWS($A$2:A845))),"")</f>
        <v/>
      </c>
      <c r="B845" s="39" t="str" cm="1">
        <f t="array" ref="B845">IFERROR(INDEX('Row Level Master Sheet'!$K$2:$K$1001,_xlfn.AGGREGATE(15,6,(ROW('Row Level Master Sheet'!$K$2:$K$1001)-ROW('Row Level Master Sheet'!$K$2)+1)/('Row Level Master Sheet'!$C$2:$C$1001="Traditional"),ROWS($B$2:B845))),"")</f>
        <v/>
      </c>
    </row>
    <row r="846" spans="1:2" x14ac:dyDescent="0.35">
      <c r="A846" t="str" cm="1">
        <f t="array" ref="A846">IFERROR(INDEX('Row Level Master Sheet'!$K$2:$K$1001,_xlfn.AGGREGATE(15,6,(ROW('Row Level Master Sheet'!$K$2:$K$1001)-ROW('Row Level Master Sheet'!$K$2)+1)/('Row Level Master Sheet'!$C$2:$C$1001="Digital"),ROWS($A$2:A846))),"")</f>
        <v/>
      </c>
      <c r="B846" s="39" t="str" cm="1">
        <f t="array" ref="B846">IFERROR(INDEX('Row Level Master Sheet'!$K$2:$K$1001,_xlfn.AGGREGATE(15,6,(ROW('Row Level Master Sheet'!$K$2:$K$1001)-ROW('Row Level Master Sheet'!$K$2)+1)/('Row Level Master Sheet'!$C$2:$C$1001="Traditional"),ROWS($B$2:B846))),"")</f>
        <v/>
      </c>
    </row>
    <row r="847" spans="1:2" x14ac:dyDescent="0.35">
      <c r="A847" t="str" cm="1">
        <f t="array" ref="A847">IFERROR(INDEX('Row Level Master Sheet'!$K$2:$K$1001,_xlfn.AGGREGATE(15,6,(ROW('Row Level Master Sheet'!$K$2:$K$1001)-ROW('Row Level Master Sheet'!$K$2)+1)/('Row Level Master Sheet'!$C$2:$C$1001="Digital"),ROWS($A$2:A847))),"")</f>
        <v/>
      </c>
      <c r="B847" s="39" t="str" cm="1">
        <f t="array" ref="B847">IFERROR(INDEX('Row Level Master Sheet'!$K$2:$K$1001,_xlfn.AGGREGATE(15,6,(ROW('Row Level Master Sheet'!$K$2:$K$1001)-ROW('Row Level Master Sheet'!$K$2)+1)/('Row Level Master Sheet'!$C$2:$C$1001="Traditional"),ROWS($B$2:B847))),"")</f>
        <v/>
      </c>
    </row>
    <row r="848" spans="1:2" x14ac:dyDescent="0.35">
      <c r="A848" t="str" cm="1">
        <f t="array" ref="A848">IFERROR(INDEX('Row Level Master Sheet'!$K$2:$K$1001,_xlfn.AGGREGATE(15,6,(ROW('Row Level Master Sheet'!$K$2:$K$1001)-ROW('Row Level Master Sheet'!$K$2)+1)/('Row Level Master Sheet'!$C$2:$C$1001="Digital"),ROWS($A$2:A848))),"")</f>
        <v/>
      </c>
      <c r="B848" s="39" t="str" cm="1">
        <f t="array" ref="B848">IFERROR(INDEX('Row Level Master Sheet'!$K$2:$K$1001,_xlfn.AGGREGATE(15,6,(ROW('Row Level Master Sheet'!$K$2:$K$1001)-ROW('Row Level Master Sheet'!$K$2)+1)/('Row Level Master Sheet'!$C$2:$C$1001="Traditional"),ROWS($B$2:B848))),"")</f>
        <v/>
      </c>
    </row>
    <row r="849" spans="1:2" x14ac:dyDescent="0.35">
      <c r="A849" t="str" cm="1">
        <f t="array" ref="A849">IFERROR(INDEX('Row Level Master Sheet'!$K$2:$K$1001,_xlfn.AGGREGATE(15,6,(ROW('Row Level Master Sheet'!$K$2:$K$1001)-ROW('Row Level Master Sheet'!$K$2)+1)/('Row Level Master Sheet'!$C$2:$C$1001="Digital"),ROWS($A$2:A849))),"")</f>
        <v/>
      </c>
      <c r="B849" s="39" t="str" cm="1">
        <f t="array" ref="B849">IFERROR(INDEX('Row Level Master Sheet'!$K$2:$K$1001,_xlfn.AGGREGATE(15,6,(ROW('Row Level Master Sheet'!$K$2:$K$1001)-ROW('Row Level Master Sheet'!$K$2)+1)/('Row Level Master Sheet'!$C$2:$C$1001="Traditional"),ROWS($B$2:B849))),"")</f>
        <v/>
      </c>
    </row>
    <row r="850" spans="1:2" x14ac:dyDescent="0.35">
      <c r="A850" t="str" cm="1">
        <f t="array" ref="A850">IFERROR(INDEX('Row Level Master Sheet'!$K$2:$K$1001,_xlfn.AGGREGATE(15,6,(ROW('Row Level Master Sheet'!$K$2:$K$1001)-ROW('Row Level Master Sheet'!$K$2)+1)/('Row Level Master Sheet'!$C$2:$C$1001="Digital"),ROWS($A$2:A850))),"")</f>
        <v/>
      </c>
      <c r="B850" s="39" t="str" cm="1">
        <f t="array" ref="B850">IFERROR(INDEX('Row Level Master Sheet'!$K$2:$K$1001,_xlfn.AGGREGATE(15,6,(ROW('Row Level Master Sheet'!$K$2:$K$1001)-ROW('Row Level Master Sheet'!$K$2)+1)/('Row Level Master Sheet'!$C$2:$C$1001="Traditional"),ROWS($B$2:B850))),"")</f>
        <v/>
      </c>
    </row>
    <row r="851" spans="1:2" x14ac:dyDescent="0.35">
      <c r="A851" t="str" cm="1">
        <f t="array" ref="A851">IFERROR(INDEX('Row Level Master Sheet'!$K$2:$K$1001,_xlfn.AGGREGATE(15,6,(ROW('Row Level Master Sheet'!$K$2:$K$1001)-ROW('Row Level Master Sheet'!$K$2)+1)/('Row Level Master Sheet'!$C$2:$C$1001="Digital"),ROWS($A$2:A851))),"")</f>
        <v/>
      </c>
      <c r="B851" s="39" t="str" cm="1">
        <f t="array" ref="B851">IFERROR(INDEX('Row Level Master Sheet'!$K$2:$K$1001,_xlfn.AGGREGATE(15,6,(ROW('Row Level Master Sheet'!$K$2:$K$1001)-ROW('Row Level Master Sheet'!$K$2)+1)/('Row Level Master Sheet'!$C$2:$C$1001="Traditional"),ROWS($B$2:B851))),"")</f>
        <v/>
      </c>
    </row>
    <row r="852" spans="1:2" x14ac:dyDescent="0.35">
      <c r="A852" t="str" cm="1">
        <f t="array" ref="A852">IFERROR(INDEX('Row Level Master Sheet'!$K$2:$K$1001,_xlfn.AGGREGATE(15,6,(ROW('Row Level Master Sheet'!$K$2:$K$1001)-ROW('Row Level Master Sheet'!$K$2)+1)/('Row Level Master Sheet'!$C$2:$C$1001="Digital"),ROWS($A$2:A852))),"")</f>
        <v/>
      </c>
      <c r="B852" s="39" t="str" cm="1">
        <f t="array" ref="B852">IFERROR(INDEX('Row Level Master Sheet'!$K$2:$K$1001,_xlfn.AGGREGATE(15,6,(ROW('Row Level Master Sheet'!$K$2:$K$1001)-ROW('Row Level Master Sheet'!$K$2)+1)/('Row Level Master Sheet'!$C$2:$C$1001="Traditional"),ROWS($B$2:B852))),"")</f>
        <v/>
      </c>
    </row>
    <row r="853" spans="1:2" x14ac:dyDescent="0.35">
      <c r="A853" t="str" cm="1">
        <f t="array" ref="A853">IFERROR(INDEX('Row Level Master Sheet'!$K$2:$K$1001,_xlfn.AGGREGATE(15,6,(ROW('Row Level Master Sheet'!$K$2:$K$1001)-ROW('Row Level Master Sheet'!$K$2)+1)/('Row Level Master Sheet'!$C$2:$C$1001="Digital"),ROWS($A$2:A853))),"")</f>
        <v/>
      </c>
      <c r="B853" s="39" t="str" cm="1">
        <f t="array" ref="B853">IFERROR(INDEX('Row Level Master Sheet'!$K$2:$K$1001,_xlfn.AGGREGATE(15,6,(ROW('Row Level Master Sheet'!$K$2:$K$1001)-ROW('Row Level Master Sheet'!$K$2)+1)/('Row Level Master Sheet'!$C$2:$C$1001="Traditional"),ROWS($B$2:B853))),"")</f>
        <v/>
      </c>
    </row>
    <row r="854" spans="1:2" x14ac:dyDescent="0.35">
      <c r="A854" t="str" cm="1">
        <f t="array" ref="A854">IFERROR(INDEX('Row Level Master Sheet'!$K$2:$K$1001,_xlfn.AGGREGATE(15,6,(ROW('Row Level Master Sheet'!$K$2:$K$1001)-ROW('Row Level Master Sheet'!$K$2)+1)/('Row Level Master Sheet'!$C$2:$C$1001="Digital"),ROWS($A$2:A854))),"")</f>
        <v/>
      </c>
      <c r="B854" s="39" t="str" cm="1">
        <f t="array" ref="B854">IFERROR(INDEX('Row Level Master Sheet'!$K$2:$K$1001,_xlfn.AGGREGATE(15,6,(ROW('Row Level Master Sheet'!$K$2:$K$1001)-ROW('Row Level Master Sheet'!$K$2)+1)/('Row Level Master Sheet'!$C$2:$C$1001="Traditional"),ROWS($B$2:B854))),"")</f>
        <v/>
      </c>
    </row>
    <row r="855" spans="1:2" x14ac:dyDescent="0.35">
      <c r="A855" t="str" cm="1">
        <f t="array" ref="A855">IFERROR(INDEX('Row Level Master Sheet'!$K$2:$K$1001,_xlfn.AGGREGATE(15,6,(ROW('Row Level Master Sheet'!$K$2:$K$1001)-ROW('Row Level Master Sheet'!$K$2)+1)/('Row Level Master Sheet'!$C$2:$C$1001="Digital"),ROWS($A$2:A855))),"")</f>
        <v/>
      </c>
      <c r="B855" s="39" t="str" cm="1">
        <f t="array" ref="B855">IFERROR(INDEX('Row Level Master Sheet'!$K$2:$K$1001,_xlfn.AGGREGATE(15,6,(ROW('Row Level Master Sheet'!$K$2:$K$1001)-ROW('Row Level Master Sheet'!$K$2)+1)/('Row Level Master Sheet'!$C$2:$C$1001="Traditional"),ROWS($B$2:B855))),"")</f>
        <v/>
      </c>
    </row>
    <row r="856" spans="1:2" x14ac:dyDescent="0.35">
      <c r="A856" t="str" cm="1">
        <f t="array" ref="A856">IFERROR(INDEX('Row Level Master Sheet'!$K$2:$K$1001,_xlfn.AGGREGATE(15,6,(ROW('Row Level Master Sheet'!$K$2:$K$1001)-ROW('Row Level Master Sheet'!$K$2)+1)/('Row Level Master Sheet'!$C$2:$C$1001="Digital"),ROWS($A$2:A856))),"")</f>
        <v/>
      </c>
      <c r="B856" s="39" t="str" cm="1">
        <f t="array" ref="B856">IFERROR(INDEX('Row Level Master Sheet'!$K$2:$K$1001,_xlfn.AGGREGATE(15,6,(ROW('Row Level Master Sheet'!$K$2:$K$1001)-ROW('Row Level Master Sheet'!$K$2)+1)/('Row Level Master Sheet'!$C$2:$C$1001="Traditional"),ROWS($B$2:B856))),"")</f>
        <v/>
      </c>
    </row>
    <row r="857" spans="1:2" x14ac:dyDescent="0.35">
      <c r="A857" t="str" cm="1">
        <f t="array" ref="A857">IFERROR(INDEX('Row Level Master Sheet'!$K$2:$K$1001,_xlfn.AGGREGATE(15,6,(ROW('Row Level Master Sheet'!$K$2:$K$1001)-ROW('Row Level Master Sheet'!$K$2)+1)/('Row Level Master Sheet'!$C$2:$C$1001="Digital"),ROWS($A$2:A857))),"")</f>
        <v/>
      </c>
      <c r="B857" s="39" t="str" cm="1">
        <f t="array" ref="B857">IFERROR(INDEX('Row Level Master Sheet'!$K$2:$K$1001,_xlfn.AGGREGATE(15,6,(ROW('Row Level Master Sheet'!$K$2:$K$1001)-ROW('Row Level Master Sheet'!$K$2)+1)/('Row Level Master Sheet'!$C$2:$C$1001="Traditional"),ROWS($B$2:B857))),"")</f>
        <v/>
      </c>
    </row>
    <row r="858" spans="1:2" x14ac:dyDescent="0.35">
      <c r="A858" t="str" cm="1">
        <f t="array" ref="A858">IFERROR(INDEX('Row Level Master Sheet'!$K$2:$K$1001,_xlfn.AGGREGATE(15,6,(ROW('Row Level Master Sheet'!$K$2:$K$1001)-ROW('Row Level Master Sheet'!$K$2)+1)/('Row Level Master Sheet'!$C$2:$C$1001="Digital"),ROWS($A$2:A858))),"")</f>
        <v/>
      </c>
      <c r="B858" s="39" t="str" cm="1">
        <f t="array" ref="B858">IFERROR(INDEX('Row Level Master Sheet'!$K$2:$K$1001,_xlfn.AGGREGATE(15,6,(ROW('Row Level Master Sheet'!$K$2:$K$1001)-ROW('Row Level Master Sheet'!$K$2)+1)/('Row Level Master Sheet'!$C$2:$C$1001="Traditional"),ROWS($B$2:B858))),"")</f>
        <v/>
      </c>
    </row>
    <row r="859" spans="1:2" x14ac:dyDescent="0.35">
      <c r="A859" t="str" cm="1">
        <f t="array" ref="A859">IFERROR(INDEX('Row Level Master Sheet'!$K$2:$K$1001,_xlfn.AGGREGATE(15,6,(ROW('Row Level Master Sheet'!$K$2:$K$1001)-ROW('Row Level Master Sheet'!$K$2)+1)/('Row Level Master Sheet'!$C$2:$C$1001="Digital"),ROWS($A$2:A859))),"")</f>
        <v/>
      </c>
      <c r="B859" s="39" t="str" cm="1">
        <f t="array" ref="B859">IFERROR(INDEX('Row Level Master Sheet'!$K$2:$K$1001,_xlfn.AGGREGATE(15,6,(ROW('Row Level Master Sheet'!$K$2:$K$1001)-ROW('Row Level Master Sheet'!$K$2)+1)/('Row Level Master Sheet'!$C$2:$C$1001="Traditional"),ROWS($B$2:B859))),"")</f>
        <v/>
      </c>
    </row>
    <row r="860" spans="1:2" x14ac:dyDescent="0.35">
      <c r="A860" t="str" cm="1">
        <f t="array" ref="A860">IFERROR(INDEX('Row Level Master Sheet'!$K$2:$K$1001,_xlfn.AGGREGATE(15,6,(ROW('Row Level Master Sheet'!$K$2:$K$1001)-ROW('Row Level Master Sheet'!$K$2)+1)/('Row Level Master Sheet'!$C$2:$C$1001="Digital"),ROWS($A$2:A860))),"")</f>
        <v/>
      </c>
      <c r="B860" s="39" t="str" cm="1">
        <f t="array" ref="B860">IFERROR(INDEX('Row Level Master Sheet'!$K$2:$K$1001,_xlfn.AGGREGATE(15,6,(ROW('Row Level Master Sheet'!$K$2:$K$1001)-ROW('Row Level Master Sheet'!$K$2)+1)/('Row Level Master Sheet'!$C$2:$C$1001="Traditional"),ROWS($B$2:B860))),"")</f>
        <v/>
      </c>
    </row>
    <row r="861" spans="1:2" x14ac:dyDescent="0.35">
      <c r="A861" t="str" cm="1">
        <f t="array" ref="A861">IFERROR(INDEX('Row Level Master Sheet'!$K$2:$K$1001,_xlfn.AGGREGATE(15,6,(ROW('Row Level Master Sheet'!$K$2:$K$1001)-ROW('Row Level Master Sheet'!$K$2)+1)/('Row Level Master Sheet'!$C$2:$C$1001="Digital"),ROWS($A$2:A861))),"")</f>
        <v/>
      </c>
      <c r="B861" s="39" t="str" cm="1">
        <f t="array" ref="B861">IFERROR(INDEX('Row Level Master Sheet'!$K$2:$K$1001,_xlfn.AGGREGATE(15,6,(ROW('Row Level Master Sheet'!$K$2:$K$1001)-ROW('Row Level Master Sheet'!$K$2)+1)/('Row Level Master Sheet'!$C$2:$C$1001="Traditional"),ROWS($B$2:B861))),"")</f>
        <v/>
      </c>
    </row>
    <row r="862" spans="1:2" x14ac:dyDescent="0.35">
      <c r="A862" t="str" cm="1">
        <f t="array" ref="A862">IFERROR(INDEX('Row Level Master Sheet'!$K$2:$K$1001,_xlfn.AGGREGATE(15,6,(ROW('Row Level Master Sheet'!$K$2:$K$1001)-ROW('Row Level Master Sheet'!$K$2)+1)/('Row Level Master Sheet'!$C$2:$C$1001="Digital"),ROWS($A$2:A862))),"")</f>
        <v/>
      </c>
      <c r="B862" s="39" t="str" cm="1">
        <f t="array" ref="B862">IFERROR(INDEX('Row Level Master Sheet'!$K$2:$K$1001,_xlfn.AGGREGATE(15,6,(ROW('Row Level Master Sheet'!$K$2:$K$1001)-ROW('Row Level Master Sheet'!$K$2)+1)/('Row Level Master Sheet'!$C$2:$C$1001="Traditional"),ROWS($B$2:B862))),"")</f>
        <v/>
      </c>
    </row>
    <row r="863" spans="1:2" x14ac:dyDescent="0.35">
      <c r="A863" t="str" cm="1">
        <f t="array" ref="A863">IFERROR(INDEX('Row Level Master Sheet'!$K$2:$K$1001,_xlfn.AGGREGATE(15,6,(ROW('Row Level Master Sheet'!$K$2:$K$1001)-ROW('Row Level Master Sheet'!$K$2)+1)/('Row Level Master Sheet'!$C$2:$C$1001="Digital"),ROWS($A$2:A863))),"")</f>
        <v/>
      </c>
      <c r="B863" s="39" t="str" cm="1">
        <f t="array" ref="B863">IFERROR(INDEX('Row Level Master Sheet'!$K$2:$K$1001,_xlfn.AGGREGATE(15,6,(ROW('Row Level Master Sheet'!$K$2:$K$1001)-ROW('Row Level Master Sheet'!$K$2)+1)/('Row Level Master Sheet'!$C$2:$C$1001="Traditional"),ROWS($B$2:B863))),"")</f>
        <v/>
      </c>
    </row>
    <row r="864" spans="1:2" x14ac:dyDescent="0.35">
      <c r="A864" t="str" cm="1">
        <f t="array" ref="A864">IFERROR(INDEX('Row Level Master Sheet'!$K$2:$K$1001,_xlfn.AGGREGATE(15,6,(ROW('Row Level Master Sheet'!$K$2:$K$1001)-ROW('Row Level Master Sheet'!$K$2)+1)/('Row Level Master Sheet'!$C$2:$C$1001="Digital"),ROWS($A$2:A864))),"")</f>
        <v/>
      </c>
      <c r="B864" s="39" t="str" cm="1">
        <f t="array" ref="B864">IFERROR(INDEX('Row Level Master Sheet'!$K$2:$K$1001,_xlfn.AGGREGATE(15,6,(ROW('Row Level Master Sheet'!$K$2:$K$1001)-ROW('Row Level Master Sheet'!$K$2)+1)/('Row Level Master Sheet'!$C$2:$C$1001="Traditional"),ROWS($B$2:B864))),"")</f>
        <v/>
      </c>
    </row>
    <row r="865" spans="1:2" x14ac:dyDescent="0.35">
      <c r="A865" t="str" cm="1">
        <f t="array" ref="A865">IFERROR(INDEX('Row Level Master Sheet'!$K$2:$K$1001,_xlfn.AGGREGATE(15,6,(ROW('Row Level Master Sheet'!$K$2:$K$1001)-ROW('Row Level Master Sheet'!$K$2)+1)/('Row Level Master Sheet'!$C$2:$C$1001="Digital"),ROWS($A$2:A865))),"")</f>
        <v/>
      </c>
      <c r="B865" s="39" t="str" cm="1">
        <f t="array" ref="B865">IFERROR(INDEX('Row Level Master Sheet'!$K$2:$K$1001,_xlfn.AGGREGATE(15,6,(ROW('Row Level Master Sheet'!$K$2:$K$1001)-ROW('Row Level Master Sheet'!$K$2)+1)/('Row Level Master Sheet'!$C$2:$C$1001="Traditional"),ROWS($B$2:B865))),"")</f>
        <v/>
      </c>
    </row>
    <row r="866" spans="1:2" x14ac:dyDescent="0.35">
      <c r="A866" t="str" cm="1">
        <f t="array" ref="A866">IFERROR(INDEX('Row Level Master Sheet'!$K$2:$K$1001,_xlfn.AGGREGATE(15,6,(ROW('Row Level Master Sheet'!$K$2:$K$1001)-ROW('Row Level Master Sheet'!$K$2)+1)/('Row Level Master Sheet'!$C$2:$C$1001="Digital"),ROWS($A$2:A866))),"")</f>
        <v/>
      </c>
      <c r="B866" s="39" t="str" cm="1">
        <f t="array" ref="B866">IFERROR(INDEX('Row Level Master Sheet'!$K$2:$K$1001,_xlfn.AGGREGATE(15,6,(ROW('Row Level Master Sheet'!$K$2:$K$1001)-ROW('Row Level Master Sheet'!$K$2)+1)/('Row Level Master Sheet'!$C$2:$C$1001="Traditional"),ROWS($B$2:B866))),"")</f>
        <v/>
      </c>
    </row>
    <row r="867" spans="1:2" x14ac:dyDescent="0.35">
      <c r="A867" t="str" cm="1">
        <f t="array" ref="A867">IFERROR(INDEX('Row Level Master Sheet'!$K$2:$K$1001,_xlfn.AGGREGATE(15,6,(ROW('Row Level Master Sheet'!$K$2:$K$1001)-ROW('Row Level Master Sheet'!$K$2)+1)/('Row Level Master Sheet'!$C$2:$C$1001="Digital"),ROWS($A$2:A867))),"")</f>
        <v/>
      </c>
      <c r="B867" s="39" t="str" cm="1">
        <f t="array" ref="B867">IFERROR(INDEX('Row Level Master Sheet'!$K$2:$K$1001,_xlfn.AGGREGATE(15,6,(ROW('Row Level Master Sheet'!$K$2:$K$1001)-ROW('Row Level Master Sheet'!$K$2)+1)/('Row Level Master Sheet'!$C$2:$C$1001="Traditional"),ROWS($B$2:B867))),"")</f>
        <v/>
      </c>
    </row>
    <row r="868" spans="1:2" x14ac:dyDescent="0.35">
      <c r="A868" t="str" cm="1">
        <f t="array" ref="A868">IFERROR(INDEX('Row Level Master Sheet'!$K$2:$K$1001,_xlfn.AGGREGATE(15,6,(ROW('Row Level Master Sheet'!$K$2:$K$1001)-ROW('Row Level Master Sheet'!$K$2)+1)/('Row Level Master Sheet'!$C$2:$C$1001="Digital"),ROWS($A$2:A868))),"")</f>
        <v/>
      </c>
      <c r="B868" s="39" t="str" cm="1">
        <f t="array" ref="B868">IFERROR(INDEX('Row Level Master Sheet'!$K$2:$K$1001,_xlfn.AGGREGATE(15,6,(ROW('Row Level Master Sheet'!$K$2:$K$1001)-ROW('Row Level Master Sheet'!$K$2)+1)/('Row Level Master Sheet'!$C$2:$C$1001="Traditional"),ROWS($B$2:B868))),"")</f>
        <v/>
      </c>
    </row>
    <row r="869" spans="1:2" x14ac:dyDescent="0.35">
      <c r="A869" t="str" cm="1">
        <f t="array" ref="A869">IFERROR(INDEX('Row Level Master Sheet'!$K$2:$K$1001,_xlfn.AGGREGATE(15,6,(ROW('Row Level Master Sheet'!$K$2:$K$1001)-ROW('Row Level Master Sheet'!$K$2)+1)/('Row Level Master Sheet'!$C$2:$C$1001="Digital"),ROWS($A$2:A869))),"")</f>
        <v/>
      </c>
      <c r="B869" s="39" t="str" cm="1">
        <f t="array" ref="B869">IFERROR(INDEX('Row Level Master Sheet'!$K$2:$K$1001,_xlfn.AGGREGATE(15,6,(ROW('Row Level Master Sheet'!$K$2:$K$1001)-ROW('Row Level Master Sheet'!$K$2)+1)/('Row Level Master Sheet'!$C$2:$C$1001="Traditional"),ROWS($B$2:B869))),"")</f>
        <v/>
      </c>
    </row>
    <row r="870" spans="1:2" x14ac:dyDescent="0.35">
      <c r="A870" t="str" cm="1">
        <f t="array" ref="A870">IFERROR(INDEX('Row Level Master Sheet'!$K$2:$K$1001,_xlfn.AGGREGATE(15,6,(ROW('Row Level Master Sheet'!$K$2:$K$1001)-ROW('Row Level Master Sheet'!$K$2)+1)/('Row Level Master Sheet'!$C$2:$C$1001="Digital"),ROWS($A$2:A870))),"")</f>
        <v/>
      </c>
      <c r="B870" s="39" t="str" cm="1">
        <f t="array" ref="B870">IFERROR(INDEX('Row Level Master Sheet'!$K$2:$K$1001,_xlfn.AGGREGATE(15,6,(ROW('Row Level Master Sheet'!$K$2:$K$1001)-ROW('Row Level Master Sheet'!$K$2)+1)/('Row Level Master Sheet'!$C$2:$C$1001="Traditional"),ROWS($B$2:B870))),"")</f>
        <v/>
      </c>
    </row>
    <row r="871" spans="1:2" x14ac:dyDescent="0.35">
      <c r="A871" t="str" cm="1">
        <f t="array" ref="A871">IFERROR(INDEX('Row Level Master Sheet'!$K$2:$K$1001,_xlfn.AGGREGATE(15,6,(ROW('Row Level Master Sheet'!$K$2:$K$1001)-ROW('Row Level Master Sheet'!$K$2)+1)/('Row Level Master Sheet'!$C$2:$C$1001="Digital"),ROWS($A$2:A871))),"")</f>
        <v/>
      </c>
      <c r="B871" s="39" t="str" cm="1">
        <f t="array" ref="B871">IFERROR(INDEX('Row Level Master Sheet'!$K$2:$K$1001,_xlfn.AGGREGATE(15,6,(ROW('Row Level Master Sheet'!$K$2:$K$1001)-ROW('Row Level Master Sheet'!$K$2)+1)/('Row Level Master Sheet'!$C$2:$C$1001="Traditional"),ROWS($B$2:B871))),"")</f>
        <v/>
      </c>
    </row>
    <row r="872" spans="1:2" x14ac:dyDescent="0.35">
      <c r="A872" t="str" cm="1">
        <f t="array" ref="A872">IFERROR(INDEX('Row Level Master Sheet'!$K$2:$K$1001,_xlfn.AGGREGATE(15,6,(ROW('Row Level Master Sheet'!$K$2:$K$1001)-ROW('Row Level Master Sheet'!$K$2)+1)/('Row Level Master Sheet'!$C$2:$C$1001="Digital"),ROWS($A$2:A872))),"")</f>
        <v/>
      </c>
      <c r="B872" s="39" t="str" cm="1">
        <f t="array" ref="B872">IFERROR(INDEX('Row Level Master Sheet'!$K$2:$K$1001,_xlfn.AGGREGATE(15,6,(ROW('Row Level Master Sheet'!$K$2:$K$1001)-ROW('Row Level Master Sheet'!$K$2)+1)/('Row Level Master Sheet'!$C$2:$C$1001="Traditional"),ROWS($B$2:B872))),"")</f>
        <v/>
      </c>
    </row>
    <row r="873" spans="1:2" x14ac:dyDescent="0.35">
      <c r="A873" t="str" cm="1">
        <f t="array" ref="A873">IFERROR(INDEX('Row Level Master Sheet'!$K$2:$K$1001,_xlfn.AGGREGATE(15,6,(ROW('Row Level Master Sheet'!$K$2:$K$1001)-ROW('Row Level Master Sheet'!$K$2)+1)/('Row Level Master Sheet'!$C$2:$C$1001="Digital"),ROWS($A$2:A873))),"")</f>
        <v/>
      </c>
      <c r="B873" s="39" t="str" cm="1">
        <f t="array" ref="B873">IFERROR(INDEX('Row Level Master Sheet'!$K$2:$K$1001,_xlfn.AGGREGATE(15,6,(ROW('Row Level Master Sheet'!$K$2:$K$1001)-ROW('Row Level Master Sheet'!$K$2)+1)/('Row Level Master Sheet'!$C$2:$C$1001="Traditional"),ROWS($B$2:B873))),"")</f>
        <v/>
      </c>
    </row>
    <row r="874" spans="1:2" x14ac:dyDescent="0.35">
      <c r="A874" t="str" cm="1">
        <f t="array" ref="A874">IFERROR(INDEX('Row Level Master Sheet'!$K$2:$K$1001,_xlfn.AGGREGATE(15,6,(ROW('Row Level Master Sheet'!$K$2:$K$1001)-ROW('Row Level Master Sheet'!$K$2)+1)/('Row Level Master Sheet'!$C$2:$C$1001="Digital"),ROWS($A$2:A874))),"")</f>
        <v/>
      </c>
      <c r="B874" s="39" t="str" cm="1">
        <f t="array" ref="B874">IFERROR(INDEX('Row Level Master Sheet'!$K$2:$K$1001,_xlfn.AGGREGATE(15,6,(ROW('Row Level Master Sheet'!$K$2:$K$1001)-ROW('Row Level Master Sheet'!$K$2)+1)/('Row Level Master Sheet'!$C$2:$C$1001="Traditional"),ROWS($B$2:B874))),"")</f>
        <v/>
      </c>
    </row>
    <row r="875" spans="1:2" x14ac:dyDescent="0.35">
      <c r="A875" t="str" cm="1">
        <f t="array" ref="A875">IFERROR(INDEX('Row Level Master Sheet'!$K$2:$K$1001,_xlfn.AGGREGATE(15,6,(ROW('Row Level Master Sheet'!$K$2:$K$1001)-ROW('Row Level Master Sheet'!$K$2)+1)/('Row Level Master Sheet'!$C$2:$C$1001="Digital"),ROWS($A$2:A875))),"")</f>
        <v/>
      </c>
      <c r="B875" s="39" t="str" cm="1">
        <f t="array" ref="B875">IFERROR(INDEX('Row Level Master Sheet'!$K$2:$K$1001,_xlfn.AGGREGATE(15,6,(ROW('Row Level Master Sheet'!$K$2:$K$1001)-ROW('Row Level Master Sheet'!$K$2)+1)/('Row Level Master Sheet'!$C$2:$C$1001="Traditional"),ROWS($B$2:B875))),"")</f>
        <v/>
      </c>
    </row>
    <row r="876" spans="1:2" x14ac:dyDescent="0.35">
      <c r="A876" t="str" cm="1">
        <f t="array" ref="A876">IFERROR(INDEX('Row Level Master Sheet'!$K$2:$K$1001,_xlfn.AGGREGATE(15,6,(ROW('Row Level Master Sheet'!$K$2:$K$1001)-ROW('Row Level Master Sheet'!$K$2)+1)/('Row Level Master Sheet'!$C$2:$C$1001="Digital"),ROWS($A$2:A876))),"")</f>
        <v/>
      </c>
      <c r="B876" s="39" t="str" cm="1">
        <f t="array" ref="B876">IFERROR(INDEX('Row Level Master Sheet'!$K$2:$K$1001,_xlfn.AGGREGATE(15,6,(ROW('Row Level Master Sheet'!$K$2:$K$1001)-ROW('Row Level Master Sheet'!$K$2)+1)/('Row Level Master Sheet'!$C$2:$C$1001="Traditional"),ROWS($B$2:B876))),"")</f>
        <v/>
      </c>
    </row>
    <row r="877" spans="1:2" x14ac:dyDescent="0.35">
      <c r="A877" t="str" cm="1">
        <f t="array" ref="A877">IFERROR(INDEX('Row Level Master Sheet'!$K$2:$K$1001,_xlfn.AGGREGATE(15,6,(ROW('Row Level Master Sheet'!$K$2:$K$1001)-ROW('Row Level Master Sheet'!$K$2)+1)/('Row Level Master Sheet'!$C$2:$C$1001="Digital"),ROWS($A$2:A877))),"")</f>
        <v/>
      </c>
      <c r="B877" s="39" t="str" cm="1">
        <f t="array" ref="B877">IFERROR(INDEX('Row Level Master Sheet'!$K$2:$K$1001,_xlfn.AGGREGATE(15,6,(ROW('Row Level Master Sheet'!$K$2:$K$1001)-ROW('Row Level Master Sheet'!$K$2)+1)/('Row Level Master Sheet'!$C$2:$C$1001="Traditional"),ROWS($B$2:B877))),"")</f>
        <v/>
      </c>
    </row>
    <row r="878" spans="1:2" x14ac:dyDescent="0.35">
      <c r="A878" t="str" cm="1">
        <f t="array" ref="A878">IFERROR(INDEX('Row Level Master Sheet'!$K$2:$K$1001,_xlfn.AGGREGATE(15,6,(ROW('Row Level Master Sheet'!$K$2:$K$1001)-ROW('Row Level Master Sheet'!$K$2)+1)/('Row Level Master Sheet'!$C$2:$C$1001="Digital"),ROWS($A$2:A878))),"")</f>
        <v/>
      </c>
      <c r="B878" s="39" t="str" cm="1">
        <f t="array" ref="B878">IFERROR(INDEX('Row Level Master Sheet'!$K$2:$K$1001,_xlfn.AGGREGATE(15,6,(ROW('Row Level Master Sheet'!$K$2:$K$1001)-ROW('Row Level Master Sheet'!$K$2)+1)/('Row Level Master Sheet'!$C$2:$C$1001="Traditional"),ROWS($B$2:B878))),"")</f>
        <v/>
      </c>
    </row>
    <row r="879" spans="1:2" x14ac:dyDescent="0.35">
      <c r="A879" t="str" cm="1">
        <f t="array" ref="A879">IFERROR(INDEX('Row Level Master Sheet'!$K$2:$K$1001,_xlfn.AGGREGATE(15,6,(ROW('Row Level Master Sheet'!$K$2:$K$1001)-ROW('Row Level Master Sheet'!$K$2)+1)/('Row Level Master Sheet'!$C$2:$C$1001="Digital"),ROWS($A$2:A879))),"")</f>
        <v/>
      </c>
      <c r="B879" s="39" t="str" cm="1">
        <f t="array" ref="B879">IFERROR(INDEX('Row Level Master Sheet'!$K$2:$K$1001,_xlfn.AGGREGATE(15,6,(ROW('Row Level Master Sheet'!$K$2:$K$1001)-ROW('Row Level Master Sheet'!$K$2)+1)/('Row Level Master Sheet'!$C$2:$C$1001="Traditional"),ROWS($B$2:B879))),"")</f>
        <v/>
      </c>
    </row>
    <row r="880" spans="1:2" x14ac:dyDescent="0.35">
      <c r="A880" t="str" cm="1">
        <f t="array" ref="A880">IFERROR(INDEX('Row Level Master Sheet'!$K$2:$K$1001,_xlfn.AGGREGATE(15,6,(ROW('Row Level Master Sheet'!$K$2:$K$1001)-ROW('Row Level Master Sheet'!$K$2)+1)/('Row Level Master Sheet'!$C$2:$C$1001="Digital"),ROWS($A$2:A880))),"")</f>
        <v/>
      </c>
      <c r="B880" s="39" t="str" cm="1">
        <f t="array" ref="B880">IFERROR(INDEX('Row Level Master Sheet'!$K$2:$K$1001,_xlfn.AGGREGATE(15,6,(ROW('Row Level Master Sheet'!$K$2:$K$1001)-ROW('Row Level Master Sheet'!$K$2)+1)/('Row Level Master Sheet'!$C$2:$C$1001="Traditional"),ROWS($B$2:B880))),"")</f>
        <v/>
      </c>
    </row>
    <row r="881" spans="1:2" x14ac:dyDescent="0.35">
      <c r="A881" t="str" cm="1">
        <f t="array" ref="A881">IFERROR(INDEX('Row Level Master Sheet'!$K$2:$K$1001,_xlfn.AGGREGATE(15,6,(ROW('Row Level Master Sheet'!$K$2:$K$1001)-ROW('Row Level Master Sheet'!$K$2)+1)/('Row Level Master Sheet'!$C$2:$C$1001="Digital"),ROWS($A$2:A881))),"")</f>
        <v/>
      </c>
      <c r="B881" s="39" t="str" cm="1">
        <f t="array" ref="B881">IFERROR(INDEX('Row Level Master Sheet'!$K$2:$K$1001,_xlfn.AGGREGATE(15,6,(ROW('Row Level Master Sheet'!$K$2:$K$1001)-ROW('Row Level Master Sheet'!$K$2)+1)/('Row Level Master Sheet'!$C$2:$C$1001="Traditional"),ROWS($B$2:B881))),"")</f>
        <v/>
      </c>
    </row>
    <row r="882" spans="1:2" x14ac:dyDescent="0.35">
      <c r="A882" t="str" cm="1">
        <f t="array" ref="A882">IFERROR(INDEX('Row Level Master Sheet'!$K$2:$K$1001,_xlfn.AGGREGATE(15,6,(ROW('Row Level Master Sheet'!$K$2:$K$1001)-ROW('Row Level Master Sheet'!$K$2)+1)/('Row Level Master Sheet'!$C$2:$C$1001="Digital"),ROWS($A$2:A882))),"")</f>
        <v/>
      </c>
      <c r="B882" s="39" t="str" cm="1">
        <f t="array" ref="B882">IFERROR(INDEX('Row Level Master Sheet'!$K$2:$K$1001,_xlfn.AGGREGATE(15,6,(ROW('Row Level Master Sheet'!$K$2:$K$1001)-ROW('Row Level Master Sheet'!$K$2)+1)/('Row Level Master Sheet'!$C$2:$C$1001="Traditional"),ROWS($B$2:B882))),"")</f>
        <v/>
      </c>
    </row>
    <row r="883" spans="1:2" x14ac:dyDescent="0.35">
      <c r="A883" t="str" cm="1">
        <f t="array" ref="A883">IFERROR(INDEX('Row Level Master Sheet'!$K$2:$K$1001,_xlfn.AGGREGATE(15,6,(ROW('Row Level Master Sheet'!$K$2:$K$1001)-ROW('Row Level Master Sheet'!$K$2)+1)/('Row Level Master Sheet'!$C$2:$C$1001="Digital"),ROWS($A$2:A883))),"")</f>
        <v/>
      </c>
      <c r="B883" s="39" t="str" cm="1">
        <f t="array" ref="B883">IFERROR(INDEX('Row Level Master Sheet'!$K$2:$K$1001,_xlfn.AGGREGATE(15,6,(ROW('Row Level Master Sheet'!$K$2:$K$1001)-ROW('Row Level Master Sheet'!$K$2)+1)/('Row Level Master Sheet'!$C$2:$C$1001="Traditional"),ROWS($B$2:B883))),"")</f>
        <v/>
      </c>
    </row>
    <row r="884" spans="1:2" x14ac:dyDescent="0.35">
      <c r="A884" t="str" cm="1">
        <f t="array" ref="A884">IFERROR(INDEX('Row Level Master Sheet'!$K$2:$K$1001,_xlfn.AGGREGATE(15,6,(ROW('Row Level Master Sheet'!$K$2:$K$1001)-ROW('Row Level Master Sheet'!$K$2)+1)/('Row Level Master Sheet'!$C$2:$C$1001="Digital"),ROWS($A$2:A884))),"")</f>
        <v/>
      </c>
      <c r="B884" s="39" t="str" cm="1">
        <f t="array" ref="B884">IFERROR(INDEX('Row Level Master Sheet'!$K$2:$K$1001,_xlfn.AGGREGATE(15,6,(ROW('Row Level Master Sheet'!$K$2:$K$1001)-ROW('Row Level Master Sheet'!$K$2)+1)/('Row Level Master Sheet'!$C$2:$C$1001="Traditional"),ROWS($B$2:B884))),"")</f>
        <v/>
      </c>
    </row>
    <row r="885" spans="1:2" x14ac:dyDescent="0.35">
      <c r="A885" t="str" cm="1">
        <f t="array" ref="A885">IFERROR(INDEX('Row Level Master Sheet'!$K$2:$K$1001,_xlfn.AGGREGATE(15,6,(ROW('Row Level Master Sheet'!$K$2:$K$1001)-ROW('Row Level Master Sheet'!$K$2)+1)/('Row Level Master Sheet'!$C$2:$C$1001="Digital"),ROWS($A$2:A885))),"")</f>
        <v/>
      </c>
      <c r="B885" s="39" t="str" cm="1">
        <f t="array" ref="B885">IFERROR(INDEX('Row Level Master Sheet'!$K$2:$K$1001,_xlfn.AGGREGATE(15,6,(ROW('Row Level Master Sheet'!$K$2:$K$1001)-ROW('Row Level Master Sheet'!$K$2)+1)/('Row Level Master Sheet'!$C$2:$C$1001="Traditional"),ROWS($B$2:B885))),"")</f>
        <v/>
      </c>
    </row>
    <row r="886" spans="1:2" x14ac:dyDescent="0.35">
      <c r="A886" t="str" cm="1">
        <f t="array" ref="A886">IFERROR(INDEX('Row Level Master Sheet'!$K$2:$K$1001,_xlfn.AGGREGATE(15,6,(ROW('Row Level Master Sheet'!$K$2:$K$1001)-ROW('Row Level Master Sheet'!$K$2)+1)/('Row Level Master Sheet'!$C$2:$C$1001="Digital"),ROWS($A$2:A886))),"")</f>
        <v/>
      </c>
      <c r="B886" s="39" t="str" cm="1">
        <f t="array" ref="B886">IFERROR(INDEX('Row Level Master Sheet'!$K$2:$K$1001,_xlfn.AGGREGATE(15,6,(ROW('Row Level Master Sheet'!$K$2:$K$1001)-ROW('Row Level Master Sheet'!$K$2)+1)/('Row Level Master Sheet'!$C$2:$C$1001="Traditional"),ROWS($B$2:B886))),"")</f>
        <v/>
      </c>
    </row>
    <row r="887" spans="1:2" x14ac:dyDescent="0.35">
      <c r="A887" t="str" cm="1">
        <f t="array" ref="A887">IFERROR(INDEX('Row Level Master Sheet'!$K$2:$K$1001,_xlfn.AGGREGATE(15,6,(ROW('Row Level Master Sheet'!$K$2:$K$1001)-ROW('Row Level Master Sheet'!$K$2)+1)/('Row Level Master Sheet'!$C$2:$C$1001="Digital"),ROWS($A$2:A887))),"")</f>
        <v/>
      </c>
      <c r="B887" s="39" t="str" cm="1">
        <f t="array" ref="B887">IFERROR(INDEX('Row Level Master Sheet'!$K$2:$K$1001,_xlfn.AGGREGATE(15,6,(ROW('Row Level Master Sheet'!$K$2:$K$1001)-ROW('Row Level Master Sheet'!$K$2)+1)/('Row Level Master Sheet'!$C$2:$C$1001="Traditional"),ROWS($B$2:B887))),"")</f>
        <v/>
      </c>
    </row>
    <row r="888" spans="1:2" x14ac:dyDescent="0.35">
      <c r="A888" t="str" cm="1">
        <f t="array" ref="A888">IFERROR(INDEX('Row Level Master Sheet'!$K$2:$K$1001,_xlfn.AGGREGATE(15,6,(ROW('Row Level Master Sheet'!$K$2:$K$1001)-ROW('Row Level Master Sheet'!$K$2)+1)/('Row Level Master Sheet'!$C$2:$C$1001="Digital"),ROWS($A$2:A888))),"")</f>
        <v/>
      </c>
      <c r="B888" s="39" t="str" cm="1">
        <f t="array" ref="B888">IFERROR(INDEX('Row Level Master Sheet'!$K$2:$K$1001,_xlfn.AGGREGATE(15,6,(ROW('Row Level Master Sheet'!$K$2:$K$1001)-ROW('Row Level Master Sheet'!$K$2)+1)/('Row Level Master Sheet'!$C$2:$C$1001="Traditional"),ROWS($B$2:B888))),"")</f>
        <v/>
      </c>
    </row>
    <row r="889" spans="1:2" x14ac:dyDescent="0.35">
      <c r="A889" t="str" cm="1">
        <f t="array" ref="A889">IFERROR(INDEX('Row Level Master Sheet'!$K$2:$K$1001,_xlfn.AGGREGATE(15,6,(ROW('Row Level Master Sheet'!$K$2:$K$1001)-ROW('Row Level Master Sheet'!$K$2)+1)/('Row Level Master Sheet'!$C$2:$C$1001="Digital"),ROWS($A$2:A889))),"")</f>
        <v/>
      </c>
      <c r="B889" s="39" t="str" cm="1">
        <f t="array" ref="B889">IFERROR(INDEX('Row Level Master Sheet'!$K$2:$K$1001,_xlfn.AGGREGATE(15,6,(ROW('Row Level Master Sheet'!$K$2:$K$1001)-ROW('Row Level Master Sheet'!$K$2)+1)/('Row Level Master Sheet'!$C$2:$C$1001="Traditional"),ROWS($B$2:B889))),"")</f>
        <v/>
      </c>
    </row>
    <row r="890" spans="1:2" x14ac:dyDescent="0.35">
      <c r="A890" t="str" cm="1">
        <f t="array" ref="A890">IFERROR(INDEX('Row Level Master Sheet'!$K$2:$K$1001,_xlfn.AGGREGATE(15,6,(ROW('Row Level Master Sheet'!$K$2:$K$1001)-ROW('Row Level Master Sheet'!$K$2)+1)/('Row Level Master Sheet'!$C$2:$C$1001="Digital"),ROWS($A$2:A890))),"")</f>
        <v/>
      </c>
      <c r="B890" s="39" t="str" cm="1">
        <f t="array" ref="B890">IFERROR(INDEX('Row Level Master Sheet'!$K$2:$K$1001,_xlfn.AGGREGATE(15,6,(ROW('Row Level Master Sheet'!$K$2:$K$1001)-ROW('Row Level Master Sheet'!$K$2)+1)/('Row Level Master Sheet'!$C$2:$C$1001="Traditional"),ROWS($B$2:B890))),"")</f>
        <v/>
      </c>
    </row>
    <row r="891" spans="1:2" x14ac:dyDescent="0.35">
      <c r="A891" t="str" cm="1">
        <f t="array" ref="A891">IFERROR(INDEX('Row Level Master Sheet'!$K$2:$K$1001,_xlfn.AGGREGATE(15,6,(ROW('Row Level Master Sheet'!$K$2:$K$1001)-ROW('Row Level Master Sheet'!$K$2)+1)/('Row Level Master Sheet'!$C$2:$C$1001="Digital"),ROWS($A$2:A891))),"")</f>
        <v/>
      </c>
      <c r="B891" s="39" t="str" cm="1">
        <f t="array" ref="B891">IFERROR(INDEX('Row Level Master Sheet'!$K$2:$K$1001,_xlfn.AGGREGATE(15,6,(ROW('Row Level Master Sheet'!$K$2:$K$1001)-ROW('Row Level Master Sheet'!$K$2)+1)/('Row Level Master Sheet'!$C$2:$C$1001="Traditional"),ROWS($B$2:B891))),"")</f>
        <v/>
      </c>
    </row>
    <row r="892" spans="1:2" x14ac:dyDescent="0.35">
      <c r="A892" t="str" cm="1">
        <f t="array" ref="A892">IFERROR(INDEX('Row Level Master Sheet'!$K$2:$K$1001,_xlfn.AGGREGATE(15,6,(ROW('Row Level Master Sheet'!$K$2:$K$1001)-ROW('Row Level Master Sheet'!$K$2)+1)/('Row Level Master Sheet'!$C$2:$C$1001="Digital"),ROWS($A$2:A892))),"")</f>
        <v/>
      </c>
      <c r="B892" s="39" t="str" cm="1">
        <f t="array" ref="B892">IFERROR(INDEX('Row Level Master Sheet'!$K$2:$K$1001,_xlfn.AGGREGATE(15,6,(ROW('Row Level Master Sheet'!$K$2:$K$1001)-ROW('Row Level Master Sheet'!$K$2)+1)/('Row Level Master Sheet'!$C$2:$C$1001="Traditional"),ROWS($B$2:B892))),"")</f>
        <v/>
      </c>
    </row>
    <row r="893" spans="1:2" x14ac:dyDescent="0.35">
      <c r="A893" t="str" cm="1">
        <f t="array" ref="A893">IFERROR(INDEX('Row Level Master Sheet'!$K$2:$K$1001,_xlfn.AGGREGATE(15,6,(ROW('Row Level Master Sheet'!$K$2:$K$1001)-ROW('Row Level Master Sheet'!$K$2)+1)/('Row Level Master Sheet'!$C$2:$C$1001="Digital"),ROWS($A$2:A893))),"")</f>
        <v/>
      </c>
      <c r="B893" s="39" t="str" cm="1">
        <f t="array" ref="B893">IFERROR(INDEX('Row Level Master Sheet'!$K$2:$K$1001,_xlfn.AGGREGATE(15,6,(ROW('Row Level Master Sheet'!$K$2:$K$1001)-ROW('Row Level Master Sheet'!$K$2)+1)/('Row Level Master Sheet'!$C$2:$C$1001="Traditional"),ROWS($B$2:B893))),"")</f>
        <v/>
      </c>
    </row>
    <row r="894" spans="1:2" x14ac:dyDescent="0.35">
      <c r="A894" t="str" cm="1">
        <f t="array" ref="A894">IFERROR(INDEX('Row Level Master Sheet'!$K$2:$K$1001,_xlfn.AGGREGATE(15,6,(ROW('Row Level Master Sheet'!$K$2:$K$1001)-ROW('Row Level Master Sheet'!$K$2)+1)/('Row Level Master Sheet'!$C$2:$C$1001="Digital"),ROWS($A$2:A894))),"")</f>
        <v/>
      </c>
      <c r="B894" s="39" t="str" cm="1">
        <f t="array" ref="B894">IFERROR(INDEX('Row Level Master Sheet'!$K$2:$K$1001,_xlfn.AGGREGATE(15,6,(ROW('Row Level Master Sheet'!$K$2:$K$1001)-ROW('Row Level Master Sheet'!$K$2)+1)/('Row Level Master Sheet'!$C$2:$C$1001="Traditional"),ROWS($B$2:B894))),"")</f>
        <v/>
      </c>
    </row>
    <row r="895" spans="1:2" x14ac:dyDescent="0.35">
      <c r="A895" t="str" cm="1">
        <f t="array" ref="A895">IFERROR(INDEX('Row Level Master Sheet'!$K$2:$K$1001,_xlfn.AGGREGATE(15,6,(ROW('Row Level Master Sheet'!$K$2:$K$1001)-ROW('Row Level Master Sheet'!$K$2)+1)/('Row Level Master Sheet'!$C$2:$C$1001="Digital"),ROWS($A$2:A895))),"")</f>
        <v/>
      </c>
      <c r="B895" s="39" t="str" cm="1">
        <f t="array" ref="B895">IFERROR(INDEX('Row Level Master Sheet'!$K$2:$K$1001,_xlfn.AGGREGATE(15,6,(ROW('Row Level Master Sheet'!$K$2:$K$1001)-ROW('Row Level Master Sheet'!$K$2)+1)/('Row Level Master Sheet'!$C$2:$C$1001="Traditional"),ROWS($B$2:B895))),"")</f>
        <v/>
      </c>
    </row>
    <row r="896" spans="1:2" x14ac:dyDescent="0.35">
      <c r="A896" t="str" cm="1">
        <f t="array" ref="A896">IFERROR(INDEX('Row Level Master Sheet'!$K$2:$K$1001,_xlfn.AGGREGATE(15,6,(ROW('Row Level Master Sheet'!$K$2:$K$1001)-ROW('Row Level Master Sheet'!$K$2)+1)/('Row Level Master Sheet'!$C$2:$C$1001="Digital"),ROWS($A$2:A896))),"")</f>
        <v/>
      </c>
      <c r="B896" s="39" t="str" cm="1">
        <f t="array" ref="B896">IFERROR(INDEX('Row Level Master Sheet'!$K$2:$K$1001,_xlfn.AGGREGATE(15,6,(ROW('Row Level Master Sheet'!$K$2:$K$1001)-ROW('Row Level Master Sheet'!$K$2)+1)/('Row Level Master Sheet'!$C$2:$C$1001="Traditional"),ROWS($B$2:B896))),"")</f>
        <v/>
      </c>
    </row>
    <row r="897" spans="1:2" x14ac:dyDescent="0.35">
      <c r="A897" t="str" cm="1">
        <f t="array" ref="A897">IFERROR(INDEX('Row Level Master Sheet'!$K$2:$K$1001,_xlfn.AGGREGATE(15,6,(ROW('Row Level Master Sheet'!$K$2:$K$1001)-ROW('Row Level Master Sheet'!$K$2)+1)/('Row Level Master Sheet'!$C$2:$C$1001="Digital"),ROWS($A$2:A897))),"")</f>
        <v/>
      </c>
      <c r="B897" s="39" t="str" cm="1">
        <f t="array" ref="B897">IFERROR(INDEX('Row Level Master Sheet'!$K$2:$K$1001,_xlfn.AGGREGATE(15,6,(ROW('Row Level Master Sheet'!$K$2:$K$1001)-ROW('Row Level Master Sheet'!$K$2)+1)/('Row Level Master Sheet'!$C$2:$C$1001="Traditional"),ROWS($B$2:B897))),"")</f>
        <v/>
      </c>
    </row>
    <row r="898" spans="1:2" x14ac:dyDescent="0.35">
      <c r="A898" t="str" cm="1">
        <f t="array" ref="A898">IFERROR(INDEX('Row Level Master Sheet'!$K$2:$K$1001,_xlfn.AGGREGATE(15,6,(ROW('Row Level Master Sheet'!$K$2:$K$1001)-ROW('Row Level Master Sheet'!$K$2)+1)/('Row Level Master Sheet'!$C$2:$C$1001="Digital"),ROWS($A$2:A898))),"")</f>
        <v/>
      </c>
      <c r="B898" s="39" t="str" cm="1">
        <f t="array" ref="B898">IFERROR(INDEX('Row Level Master Sheet'!$K$2:$K$1001,_xlfn.AGGREGATE(15,6,(ROW('Row Level Master Sheet'!$K$2:$K$1001)-ROW('Row Level Master Sheet'!$K$2)+1)/('Row Level Master Sheet'!$C$2:$C$1001="Traditional"),ROWS($B$2:B898))),"")</f>
        <v/>
      </c>
    </row>
    <row r="899" spans="1:2" x14ac:dyDescent="0.35">
      <c r="A899" t="str" cm="1">
        <f t="array" ref="A899">IFERROR(INDEX('Row Level Master Sheet'!$K$2:$K$1001,_xlfn.AGGREGATE(15,6,(ROW('Row Level Master Sheet'!$K$2:$K$1001)-ROW('Row Level Master Sheet'!$K$2)+1)/('Row Level Master Sheet'!$C$2:$C$1001="Digital"),ROWS($A$2:A899))),"")</f>
        <v/>
      </c>
      <c r="B899" s="39" t="str" cm="1">
        <f t="array" ref="B899">IFERROR(INDEX('Row Level Master Sheet'!$K$2:$K$1001,_xlfn.AGGREGATE(15,6,(ROW('Row Level Master Sheet'!$K$2:$K$1001)-ROW('Row Level Master Sheet'!$K$2)+1)/('Row Level Master Sheet'!$C$2:$C$1001="Traditional"),ROWS($B$2:B899))),"")</f>
        <v/>
      </c>
    </row>
    <row r="900" spans="1:2" x14ac:dyDescent="0.35">
      <c r="A900" t="str" cm="1">
        <f t="array" ref="A900">IFERROR(INDEX('Row Level Master Sheet'!$K$2:$K$1001,_xlfn.AGGREGATE(15,6,(ROW('Row Level Master Sheet'!$K$2:$K$1001)-ROW('Row Level Master Sheet'!$K$2)+1)/('Row Level Master Sheet'!$C$2:$C$1001="Digital"),ROWS($A$2:A900))),"")</f>
        <v/>
      </c>
      <c r="B900" s="39" t="str" cm="1">
        <f t="array" ref="B900">IFERROR(INDEX('Row Level Master Sheet'!$K$2:$K$1001,_xlfn.AGGREGATE(15,6,(ROW('Row Level Master Sheet'!$K$2:$K$1001)-ROW('Row Level Master Sheet'!$K$2)+1)/('Row Level Master Sheet'!$C$2:$C$1001="Traditional"),ROWS($B$2:B900))),"")</f>
        <v/>
      </c>
    </row>
    <row r="901" spans="1:2" x14ac:dyDescent="0.35">
      <c r="A901" t="str" cm="1">
        <f t="array" ref="A901">IFERROR(INDEX('Row Level Master Sheet'!$K$2:$K$1001,_xlfn.AGGREGATE(15,6,(ROW('Row Level Master Sheet'!$K$2:$K$1001)-ROW('Row Level Master Sheet'!$K$2)+1)/('Row Level Master Sheet'!$C$2:$C$1001="Digital"),ROWS($A$2:A901))),"")</f>
        <v/>
      </c>
      <c r="B901" s="39" t="str" cm="1">
        <f t="array" ref="B901">IFERROR(INDEX('Row Level Master Sheet'!$K$2:$K$1001,_xlfn.AGGREGATE(15,6,(ROW('Row Level Master Sheet'!$K$2:$K$1001)-ROW('Row Level Master Sheet'!$K$2)+1)/('Row Level Master Sheet'!$C$2:$C$1001="Traditional"),ROWS($B$2:B901))),"")</f>
        <v/>
      </c>
    </row>
    <row r="902" spans="1:2" x14ac:dyDescent="0.35">
      <c r="A902" t="str" cm="1">
        <f t="array" ref="A902">IFERROR(INDEX('Row Level Master Sheet'!$K$2:$K$1001,_xlfn.AGGREGATE(15,6,(ROW('Row Level Master Sheet'!$K$2:$K$1001)-ROW('Row Level Master Sheet'!$K$2)+1)/('Row Level Master Sheet'!$C$2:$C$1001="Digital"),ROWS($A$2:A902))),"")</f>
        <v/>
      </c>
      <c r="B902" s="39" t="str" cm="1">
        <f t="array" ref="B902">IFERROR(INDEX('Row Level Master Sheet'!$K$2:$K$1001,_xlfn.AGGREGATE(15,6,(ROW('Row Level Master Sheet'!$K$2:$K$1001)-ROW('Row Level Master Sheet'!$K$2)+1)/('Row Level Master Sheet'!$C$2:$C$1001="Traditional"),ROWS($B$2:B902))),"")</f>
        <v/>
      </c>
    </row>
    <row r="903" spans="1:2" x14ac:dyDescent="0.35">
      <c r="A903" t="str" cm="1">
        <f t="array" ref="A903">IFERROR(INDEX('Row Level Master Sheet'!$K$2:$K$1001,_xlfn.AGGREGATE(15,6,(ROW('Row Level Master Sheet'!$K$2:$K$1001)-ROW('Row Level Master Sheet'!$K$2)+1)/('Row Level Master Sheet'!$C$2:$C$1001="Digital"),ROWS($A$2:A903))),"")</f>
        <v/>
      </c>
      <c r="B903" s="39" t="str" cm="1">
        <f t="array" ref="B903">IFERROR(INDEX('Row Level Master Sheet'!$K$2:$K$1001,_xlfn.AGGREGATE(15,6,(ROW('Row Level Master Sheet'!$K$2:$K$1001)-ROW('Row Level Master Sheet'!$K$2)+1)/('Row Level Master Sheet'!$C$2:$C$1001="Traditional"),ROWS($B$2:B903))),"")</f>
        <v/>
      </c>
    </row>
    <row r="904" spans="1:2" x14ac:dyDescent="0.35">
      <c r="A904" t="str" cm="1">
        <f t="array" ref="A904">IFERROR(INDEX('Row Level Master Sheet'!$K$2:$K$1001,_xlfn.AGGREGATE(15,6,(ROW('Row Level Master Sheet'!$K$2:$K$1001)-ROW('Row Level Master Sheet'!$K$2)+1)/('Row Level Master Sheet'!$C$2:$C$1001="Digital"),ROWS($A$2:A904))),"")</f>
        <v/>
      </c>
      <c r="B904" s="39" t="str" cm="1">
        <f t="array" ref="B904">IFERROR(INDEX('Row Level Master Sheet'!$K$2:$K$1001,_xlfn.AGGREGATE(15,6,(ROW('Row Level Master Sheet'!$K$2:$K$1001)-ROW('Row Level Master Sheet'!$K$2)+1)/('Row Level Master Sheet'!$C$2:$C$1001="Traditional"),ROWS($B$2:B904))),"")</f>
        <v/>
      </c>
    </row>
    <row r="905" spans="1:2" x14ac:dyDescent="0.35">
      <c r="A905" t="str" cm="1">
        <f t="array" ref="A905">IFERROR(INDEX('Row Level Master Sheet'!$K$2:$K$1001,_xlfn.AGGREGATE(15,6,(ROW('Row Level Master Sheet'!$K$2:$K$1001)-ROW('Row Level Master Sheet'!$K$2)+1)/('Row Level Master Sheet'!$C$2:$C$1001="Digital"),ROWS($A$2:A905))),"")</f>
        <v/>
      </c>
      <c r="B905" s="39" t="str" cm="1">
        <f t="array" ref="B905">IFERROR(INDEX('Row Level Master Sheet'!$K$2:$K$1001,_xlfn.AGGREGATE(15,6,(ROW('Row Level Master Sheet'!$K$2:$K$1001)-ROW('Row Level Master Sheet'!$K$2)+1)/('Row Level Master Sheet'!$C$2:$C$1001="Traditional"),ROWS($B$2:B905))),"")</f>
        <v/>
      </c>
    </row>
    <row r="906" spans="1:2" x14ac:dyDescent="0.35">
      <c r="A906" t="str" cm="1">
        <f t="array" ref="A906">IFERROR(INDEX('Row Level Master Sheet'!$K$2:$K$1001,_xlfn.AGGREGATE(15,6,(ROW('Row Level Master Sheet'!$K$2:$K$1001)-ROW('Row Level Master Sheet'!$K$2)+1)/('Row Level Master Sheet'!$C$2:$C$1001="Digital"),ROWS($A$2:A906))),"")</f>
        <v/>
      </c>
      <c r="B906" s="39" t="str" cm="1">
        <f t="array" ref="B906">IFERROR(INDEX('Row Level Master Sheet'!$K$2:$K$1001,_xlfn.AGGREGATE(15,6,(ROW('Row Level Master Sheet'!$K$2:$K$1001)-ROW('Row Level Master Sheet'!$K$2)+1)/('Row Level Master Sheet'!$C$2:$C$1001="Traditional"),ROWS($B$2:B906))),"")</f>
        <v/>
      </c>
    </row>
    <row r="907" spans="1:2" x14ac:dyDescent="0.35">
      <c r="A907" t="str" cm="1">
        <f t="array" ref="A907">IFERROR(INDEX('Row Level Master Sheet'!$K$2:$K$1001,_xlfn.AGGREGATE(15,6,(ROW('Row Level Master Sheet'!$K$2:$K$1001)-ROW('Row Level Master Sheet'!$K$2)+1)/('Row Level Master Sheet'!$C$2:$C$1001="Digital"),ROWS($A$2:A907))),"")</f>
        <v/>
      </c>
      <c r="B907" s="39" t="str" cm="1">
        <f t="array" ref="B907">IFERROR(INDEX('Row Level Master Sheet'!$K$2:$K$1001,_xlfn.AGGREGATE(15,6,(ROW('Row Level Master Sheet'!$K$2:$K$1001)-ROW('Row Level Master Sheet'!$K$2)+1)/('Row Level Master Sheet'!$C$2:$C$1001="Traditional"),ROWS($B$2:B907))),"")</f>
        <v/>
      </c>
    </row>
    <row r="908" spans="1:2" x14ac:dyDescent="0.35">
      <c r="A908" t="str" cm="1">
        <f t="array" ref="A908">IFERROR(INDEX('Row Level Master Sheet'!$K$2:$K$1001,_xlfn.AGGREGATE(15,6,(ROW('Row Level Master Sheet'!$K$2:$K$1001)-ROW('Row Level Master Sheet'!$K$2)+1)/('Row Level Master Sheet'!$C$2:$C$1001="Digital"),ROWS($A$2:A908))),"")</f>
        <v/>
      </c>
      <c r="B908" s="39" t="str" cm="1">
        <f t="array" ref="B908">IFERROR(INDEX('Row Level Master Sheet'!$K$2:$K$1001,_xlfn.AGGREGATE(15,6,(ROW('Row Level Master Sheet'!$K$2:$K$1001)-ROW('Row Level Master Sheet'!$K$2)+1)/('Row Level Master Sheet'!$C$2:$C$1001="Traditional"),ROWS($B$2:B908))),"")</f>
        <v/>
      </c>
    </row>
    <row r="909" spans="1:2" x14ac:dyDescent="0.35">
      <c r="A909" t="str" cm="1">
        <f t="array" ref="A909">IFERROR(INDEX('Row Level Master Sheet'!$K$2:$K$1001,_xlfn.AGGREGATE(15,6,(ROW('Row Level Master Sheet'!$K$2:$K$1001)-ROW('Row Level Master Sheet'!$K$2)+1)/('Row Level Master Sheet'!$C$2:$C$1001="Digital"),ROWS($A$2:A909))),"")</f>
        <v/>
      </c>
      <c r="B909" s="39" t="str" cm="1">
        <f t="array" ref="B909">IFERROR(INDEX('Row Level Master Sheet'!$K$2:$K$1001,_xlfn.AGGREGATE(15,6,(ROW('Row Level Master Sheet'!$K$2:$K$1001)-ROW('Row Level Master Sheet'!$K$2)+1)/('Row Level Master Sheet'!$C$2:$C$1001="Traditional"),ROWS($B$2:B909))),"")</f>
        <v/>
      </c>
    </row>
    <row r="910" spans="1:2" x14ac:dyDescent="0.35">
      <c r="A910" t="str" cm="1">
        <f t="array" ref="A910">IFERROR(INDEX('Row Level Master Sheet'!$K$2:$K$1001,_xlfn.AGGREGATE(15,6,(ROW('Row Level Master Sheet'!$K$2:$K$1001)-ROW('Row Level Master Sheet'!$K$2)+1)/('Row Level Master Sheet'!$C$2:$C$1001="Digital"),ROWS($A$2:A910))),"")</f>
        <v/>
      </c>
      <c r="B910" s="39" t="str" cm="1">
        <f t="array" ref="B910">IFERROR(INDEX('Row Level Master Sheet'!$K$2:$K$1001,_xlfn.AGGREGATE(15,6,(ROW('Row Level Master Sheet'!$K$2:$K$1001)-ROW('Row Level Master Sheet'!$K$2)+1)/('Row Level Master Sheet'!$C$2:$C$1001="Traditional"),ROWS($B$2:B910))),"")</f>
        <v/>
      </c>
    </row>
    <row r="911" spans="1:2" x14ac:dyDescent="0.35">
      <c r="A911" t="str" cm="1">
        <f t="array" ref="A911">IFERROR(INDEX('Row Level Master Sheet'!$K$2:$K$1001,_xlfn.AGGREGATE(15,6,(ROW('Row Level Master Sheet'!$K$2:$K$1001)-ROW('Row Level Master Sheet'!$K$2)+1)/('Row Level Master Sheet'!$C$2:$C$1001="Digital"),ROWS($A$2:A911))),"")</f>
        <v/>
      </c>
      <c r="B911" s="39" t="str" cm="1">
        <f t="array" ref="B911">IFERROR(INDEX('Row Level Master Sheet'!$K$2:$K$1001,_xlfn.AGGREGATE(15,6,(ROW('Row Level Master Sheet'!$K$2:$K$1001)-ROW('Row Level Master Sheet'!$K$2)+1)/('Row Level Master Sheet'!$C$2:$C$1001="Traditional"),ROWS($B$2:B911))),"")</f>
        <v/>
      </c>
    </row>
    <row r="912" spans="1:2" x14ac:dyDescent="0.35">
      <c r="A912" t="str" cm="1">
        <f t="array" ref="A912">IFERROR(INDEX('Row Level Master Sheet'!$K$2:$K$1001,_xlfn.AGGREGATE(15,6,(ROW('Row Level Master Sheet'!$K$2:$K$1001)-ROW('Row Level Master Sheet'!$K$2)+1)/('Row Level Master Sheet'!$C$2:$C$1001="Digital"),ROWS($A$2:A912))),"")</f>
        <v/>
      </c>
      <c r="B912" s="39" t="str" cm="1">
        <f t="array" ref="B912">IFERROR(INDEX('Row Level Master Sheet'!$K$2:$K$1001,_xlfn.AGGREGATE(15,6,(ROW('Row Level Master Sheet'!$K$2:$K$1001)-ROW('Row Level Master Sheet'!$K$2)+1)/('Row Level Master Sheet'!$C$2:$C$1001="Traditional"),ROWS($B$2:B912))),"")</f>
        <v/>
      </c>
    </row>
    <row r="913" spans="1:2" x14ac:dyDescent="0.35">
      <c r="A913" t="str" cm="1">
        <f t="array" ref="A913">IFERROR(INDEX('Row Level Master Sheet'!$K$2:$K$1001,_xlfn.AGGREGATE(15,6,(ROW('Row Level Master Sheet'!$K$2:$K$1001)-ROW('Row Level Master Sheet'!$K$2)+1)/('Row Level Master Sheet'!$C$2:$C$1001="Digital"),ROWS($A$2:A913))),"")</f>
        <v/>
      </c>
      <c r="B913" s="39" t="str" cm="1">
        <f t="array" ref="B913">IFERROR(INDEX('Row Level Master Sheet'!$K$2:$K$1001,_xlfn.AGGREGATE(15,6,(ROW('Row Level Master Sheet'!$K$2:$K$1001)-ROW('Row Level Master Sheet'!$K$2)+1)/('Row Level Master Sheet'!$C$2:$C$1001="Traditional"),ROWS($B$2:B913))),"")</f>
        <v/>
      </c>
    </row>
    <row r="914" spans="1:2" x14ac:dyDescent="0.35">
      <c r="A914" t="str" cm="1">
        <f t="array" ref="A914">IFERROR(INDEX('Row Level Master Sheet'!$K$2:$K$1001,_xlfn.AGGREGATE(15,6,(ROW('Row Level Master Sheet'!$K$2:$K$1001)-ROW('Row Level Master Sheet'!$K$2)+1)/('Row Level Master Sheet'!$C$2:$C$1001="Digital"),ROWS($A$2:A914))),"")</f>
        <v/>
      </c>
      <c r="B914" s="39" t="str" cm="1">
        <f t="array" ref="B914">IFERROR(INDEX('Row Level Master Sheet'!$K$2:$K$1001,_xlfn.AGGREGATE(15,6,(ROW('Row Level Master Sheet'!$K$2:$K$1001)-ROW('Row Level Master Sheet'!$K$2)+1)/('Row Level Master Sheet'!$C$2:$C$1001="Traditional"),ROWS($B$2:B914))),"")</f>
        <v/>
      </c>
    </row>
    <row r="915" spans="1:2" x14ac:dyDescent="0.35">
      <c r="A915" t="str" cm="1">
        <f t="array" ref="A915">IFERROR(INDEX('Row Level Master Sheet'!$K$2:$K$1001,_xlfn.AGGREGATE(15,6,(ROW('Row Level Master Sheet'!$K$2:$K$1001)-ROW('Row Level Master Sheet'!$K$2)+1)/('Row Level Master Sheet'!$C$2:$C$1001="Digital"),ROWS($A$2:A915))),"")</f>
        <v/>
      </c>
      <c r="B915" s="39" t="str" cm="1">
        <f t="array" ref="B915">IFERROR(INDEX('Row Level Master Sheet'!$K$2:$K$1001,_xlfn.AGGREGATE(15,6,(ROW('Row Level Master Sheet'!$K$2:$K$1001)-ROW('Row Level Master Sheet'!$K$2)+1)/('Row Level Master Sheet'!$C$2:$C$1001="Traditional"),ROWS($B$2:B915))),"")</f>
        <v/>
      </c>
    </row>
    <row r="916" spans="1:2" x14ac:dyDescent="0.35">
      <c r="A916" t="str" cm="1">
        <f t="array" ref="A916">IFERROR(INDEX('Row Level Master Sheet'!$K$2:$K$1001,_xlfn.AGGREGATE(15,6,(ROW('Row Level Master Sheet'!$K$2:$K$1001)-ROW('Row Level Master Sheet'!$K$2)+1)/('Row Level Master Sheet'!$C$2:$C$1001="Digital"),ROWS($A$2:A916))),"")</f>
        <v/>
      </c>
      <c r="B916" s="39" t="str" cm="1">
        <f t="array" ref="B916">IFERROR(INDEX('Row Level Master Sheet'!$K$2:$K$1001,_xlfn.AGGREGATE(15,6,(ROW('Row Level Master Sheet'!$K$2:$K$1001)-ROW('Row Level Master Sheet'!$K$2)+1)/('Row Level Master Sheet'!$C$2:$C$1001="Traditional"),ROWS($B$2:B916))),"")</f>
        <v/>
      </c>
    </row>
    <row r="917" spans="1:2" x14ac:dyDescent="0.35">
      <c r="A917" t="str" cm="1">
        <f t="array" ref="A917">IFERROR(INDEX('Row Level Master Sheet'!$K$2:$K$1001,_xlfn.AGGREGATE(15,6,(ROW('Row Level Master Sheet'!$K$2:$K$1001)-ROW('Row Level Master Sheet'!$K$2)+1)/('Row Level Master Sheet'!$C$2:$C$1001="Digital"),ROWS($A$2:A917))),"")</f>
        <v/>
      </c>
      <c r="B917" s="39" t="str" cm="1">
        <f t="array" ref="B917">IFERROR(INDEX('Row Level Master Sheet'!$K$2:$K$1001,_xlfn.AGGREGATE(15,6,(ROW('Row Level Master Sheet'!$K$2:$K$1001)-ROW('Row Level Master Sheet'!$K$2)+1)/('Row Level Master Sheet'!$C$2:$C$1001="Traditional"),ROWS($B$2:B917))),"")</f>
        <v/>
      </c>
    </row>
    <row r="918" spans="1:2" x14ac:dyDescent="0.35">
      <c r="A918" t="str" cm="1">
        <f t="array" ref="A918">IFERROR(INDEX('Row Level Master Sheet'!$K$2:$K$1001,_xlfn.AGGREGATE(15,6,(ROW('Row Level Master Sheet'!$K$2:$K$1001)-ROW('Row Level Master Sheet'!$K$2)+1)/('Row Level Master Sheet'!$C$2:$C$1001="Digital"),ROWS($A$2:A918))),"")</f>
        <v/>
      </c>
      <c r="B918" s="39" t="str" cm="1">
        <f t="array" ref="B918">IFERROR(INDEX('Row Level Master Sheet'!$K$2:$K$1001,_xlfn.AGGREGATE(15,6,(ROW('Row Level Master Sheet'!$K$2:$K$1001)-ROW('Row Level Master Sheet'!$K$2)+1)/('Row Level Master Sheet'!$C$2:$C$1001="Traditional"),ROWS($B$2:B918))),"")</f>
        <v/>
      </c>
    </row>
    <row r="919" spans="1:2" x14ac:dyDescent="0.35">
      <c r="A919" t="str" cm="1">
        <f t="array" ref="A919">IFERROR(INDEX('Row Level Master Sheet'!$K$2:$K$1001,_xlfn.AGGREGATE(15,6,(ROW('Row Level Master Sheet'!$K$2:$K$1001)-ROW('Row Level Master Sheet'!$K$2)+1)/('Row Level Master Sheet'!$C$2:$C$1001="Digital"),ROWS($A$2:A919))),"")</f>
        <v/>
      </c>
      <c r="B919" s="39" t="str" cm="1">
        <f t="array" ref="B919">IFERROR(INDEX('Row Level Master Sheet'!$K$2:$K$1001,_xlfn.AGGREGATE(15,6,(ROW('Row Level Master Sheet'!$K$2:$K$1001)-ROW('Row Level Master Sheet'!$K$2)+1)/('Row Level Master Sheet'!$C$2:$C$1001="Traditional"),ROWS($B$2:B919))),"")</f>
        <v/>
      </c>
    </row>
    <row r="920" spans="1:2" x14ac:dyDescent="0.35">
      <c r="A920" t="str" cm="1">
        <f t="array" ref="A920">IFERROR(INDEX('Row Level Master Sheet'!$K$2:$K$1001,_xlfn.AGGREGATE(15,6,(ROW('Row Level Master Sheet'!$K$2:$K$1001)-ROW('Row Level Master Sheet'!$K$2)+1)/('Row Level Master Sheet'!$C$2:$C$1001="Digital"),ROWS($A$2:A920))),"")</f>
        <v/>
      </c>
      <c r="B920" s="39" t="str" cm="1">
        <f t="array" ref="B920">IFERROR(INDEX('Row Level Master Sheet'!$K$2:$K$1001,_xlfn.AGGREGATE(15,6,(ROW('Row Level Master Sheet'!$K$2:$K$1001)-ROW('Row Level Master Sheet'!$K$2)+1)/('Row Level Master Sheet'!$C$2:$C$1001="Traditional"),ROWS($B$2:B920))),"")</f>
        <v/>
      </c>
    </row>
    <row r="921" spans="1:2" x14ac:dyDescent="0.35">
      <c r="A921" t="str" cm="1">
        <f t="array" ref="A921">IFERROR(INDEX('Row Level Master Sheet'!$K$2:$K$1001,_xlfn.AGGREGATE(15,6,(ROW('Row Level Master Sheet'!$K$2:$K$1001)-ROW('Row Level Master Sheet'!$K$2)+1)/('Row Level Master Sheet'!$C$2:$C$1001="Digital"),ROWS($A$2:A921))),"")</f>
        <v/>
      </c>
      <c r="B921" s="39" t="str" cm="1">
        <f t="array" ref="B921">IFERROR(INDEX('Row Level Master Sheet'!$K$2:$K$1001,_xlfn.AGGREGATE(15,6,(ROW('Row Level Master Sheet'!$K$2:$K$1001)-ROW('Row Level Master Sheet'!$K$2)+1)/('Row Level Master Sheet'!$C$2:$C$1001="Traditional"),ROWS($B$2:B921))),"")</f>
        <v/>
      </c>
    </row>
    <row r="922" spans="1:2" x14ac:dyDescent="0.35">
      <c r="A922" t="str" cm="1">
        <f t="array" ref="A922">IFERROR(INDEX('Row Level Master Sheet'!$K$2:$K$1001,_xlfn.AGGREGATE(15,6,(ROW('Row Level Master Sheet'!$K$2:$K$1001)-ROW('Row Level Master Sheet'!$K$2)+1)/('Row Level Master Sheet'!$C$2:$C$1001="Digital"),ROWS($A$2:A922))),"")</f>
        <v/>
      </c>
      <c r="B922" s="39" t="str" cm="1">
        <f t="array" ref="B922">IFERROR(INDEX('Row Level Master Sheet'!$K$2:$K$1001,_xlfn.AGGREGATE(15,6,(ROW('Row Level Master Sheet'!$K$2:$K$1001)-ROW('Row Level Master Sheet'!$K$2)+1)/('Row Level Master Sheet'!$C$2:$C$1001="Traditional"),ROWS($B$2:B922))),"")</f>
        <v/>
      </c>
    </row>
    <row r="923" spans="1:2" x14ac:dyDescent="0.35">
      <c r="A923" t="str" cm="1">
        <f t="array" ref="A923">IFERROR(INDEX('Row Level Master Sheet'!$K$2:$K$1001,_xlfn.AGGREGATE(15,6,(ROW('Row Level Master Sheet'!$K$2:$K$1001)-ROW('Row Level Master Sheet'!$K$2)+1)/('Row Level Master Sheet'!$C$2:$C$1001="Digital"),ROWS($A$2:A923))),"")</f>
        <v/>
      </c>
      <c r="B923" s="39" t="str" cm="1">
        <f t="array" ref="B923">IFERROR(INDEX('Row Level Master Sheet'!$K$2:$K$1001,_xlfn.AGGREGATE(15,6,(ROW('Row Level Master Sheet'!$K$2:$K$1001)-ROW('Row Level Master Sheet'!$K$2)+1)/('Row Level Master Sheet'!$C$2:$C$1001="Traditional"),ROWS($B$2:B923))),"")</f>
        <v/>
      </c>
    </row>
    <row r="924" spans="1:2" x14ac:dyDescent="0.35">
      <c r="A924" t="str" cm="1">
        <f t="array" ref="A924">IFERROR(INDEX('Row Level Master Sheet'!$K$2:$K$1001,_xlfn.AGGREGATE(15,6,(ROW('Row Level Master Sheet'!$K$2:$K$1001)-ROW('Row Level Master Sheet'!$K$2)+1)/('Row Level Master Sheet'!$C$2:$C$1001="Digital"),ROWS($A$2:A924))),"")</f>
        <v/>
      </c>
      <c r="B924" s="39" t="str" cm="1">
        <f t="array" ref="B924">IFERROR(INDEX('Row Level Master Sheet'!$K$2:$K$1001,_xlfn.AGGREGATE(15,6,(ROW('Row Level Master Sheet'!$K$2:$K$1001)-ROW('Row Level Master Sheet'!$K$2)+1)/('Row Level Master Sheet'!$C$2:$C$1001="Traditional"),ROWS($B$2:B924))),"")</f>
        <v/>
      </c>
    </row>
    <row r="925" spans="1:2" x14ac:dyDescent="0.35">
      <c r="A925" t="str" cm="1">
        <f t="array" ref="A925">IFERROR(INDEX('Row Level Master Sheet'!$K$2:$K$1001,_xlfn.AGGREGATE(15,6,(ROW('Row Level Master Sheet'!$K$2:$K$1001)-ROW('Row Level Master Sheet'!$K$2)+1)/('Row Level Master Sheet'!$C$2:$C$1001="Digital"),ROWS($A$2:A925))),"")</f>
        <v/>
      </c>
      <c r="B925" s="39" t="str" cm="1">
        <f t="array" ref="B925">IFERROR(INDEX('Row Level Master Sheet'!$K$2:$K$1001,_xlfn.AGGREGATE(15,6,(ROW('Row Level Master Sheet'!$K$2:$K$1001)-ROW('Row Level Master Sheet'!$K$2)+1)/('Row Level Master Sheet'!$C$2:$C$1001="Traditional"),ROWS($B$2:B925))),"")</f>
        <v/>
      </c>
    </row>
    <row r="926" spans="1:2" x14ac:dyDescent="0.35">
      <c r="A926" t="str" cm="1">
        <f t="array" ref="A926">IFERROR(INDEX('Row Level Master Sheet'!$K$2:$K$1001,_xlfn.AGGREGATE(15,6,(ROW('Row Level Master Sheet'!$K$2:$K$1001)-ROW('Row Level Master Sheet'!$K$2)+1)/('Row Level Master Sheet'!$C$2:$C$1001="Digital"),ROWS($A$2:A926))),"")</f>
        <v/>
      </c>
      <c r="B926" s="39" t="str" cm="1">
        <f t="array" ref="B926">IFERROR(INDEX('Row Level Master Sheet'!$K$2:$K$1001,_xlfn.AGGREGATE(15,6,(ROW('Row Level Master Sheet'!$K$2:$K$1001)-ROW('Row Level Master Sheet'!$K$2)+1)/('Row Level Master Sheet'!$C$2:$C$1001="Traditional"),ROWS($B$2:B926))),"")</f>
        <v/>
      </c>
    </row>
    <row r="927" spans="1:2" x14ac:dyDescent="0.35">
      <c r="A927" t="str" cm="1">
        <f t="array" ref="A927">IFERROR(INDEX('Row Level Master Sheet'!$K$2:$K$1001,_xlfn.AGGREGATE(15,6,(ROW('Row Level Master Sheet'!$K$2:$K$1001)-ROW('Row Level Master Sheet'!$K$2)+1)/('Row Level Master Sheet'!$C$2:$C$1001="Digital"),ROWS($A$2:A927))),"")</f>
        <v/>
      </c>
      <c r="B927" s="39" t="str" cm="1">
        <f t="array" ref="B927">IFERROR(INDEX('Row Level Master Sheet'!$K$2:$K$1001,_xlfn.AGGREGATE(15,6,(ROW('Row Level Master Sheet'!$K$2:$K$1001)-ROW('Row Level Master Sheet'!$K$2)+1)/('Row Level Master Sheet'!$C$2:$C$1001="Traditional"),ROWS($B$2:B927))),"")</f>
        <v/>
      </c>
    </row>
    <row r="928" spans="1:2" x14ac:dyDescent="0.35">
      <c r="A928" t="str" cm="1">
        <f t="array" ref="A928">IFERROR(INDEX('Row Level Master Sheet'!$K$2:$K$1001,_xlfn.AGGREGATE(15,6,(ROW('Row Level Master Sheet'!$K$2:$K$1001)-ROW('Row Level Master Sheet'!$K$2)+1)/('Row Level Master Sheet'!$C$2:$C$1001="Digital"),ROWS($A$2:A928))),"")</f>
        <v/>
      </c>
      <c r="B928" s="39" t="str" cm="1">
        <f t="array" ref="B928">IFERROR(INDEX('Row Level Master Sheet'!$K$2:$K$1001,_xlfn.AGGREGATE(15,6,(ROW('Row Level Master Sheet'!$K$2:$K$1001)-ROW('Row Level Master Sheet'!$K$2)+1)/('Row Level Master Sheet'!$C$2:$C$1001="Traditional"),ROWS($B$2:B928))),"")</f>
        <v/>
      </c>
    </row>
    <row r="929" spans="1:2" x14ac:dyDescent="0.35">
      <c r="A929" t="str" cm="1">
        <f t="array" ref="A929">IFERROR(INDEX('Row Level Master Sheet'!$K$2:$K$1001,_xlfn.AGGREGATE(15,6,(ROW('Row Level Master Sheet'!$K$2:$K$1001)-ROW('Row Level Master Sheet'!$K$2)+1)/('Row Level Master Sheet'!$C$2:$C$1001="Digital"),ROWS($A$2:A929))),"")</f>
        <v/>
      </c>
      <c r="B929" s="39" t="str" cm="1">
        <f t="array" ref="B929">IFERROR(INDEX('Row Level Master Sheet'!$K$2:$K$1001,_xlfn.AGGREGATE(15,6,(ROW('Row Level Master Sheet'!$K$2:$K$1001)-ROW('Row Level Master Sheet'!$K$2)+1)/('Row Level Master Sheet'!$C$2:$C$1001="Traditional"),ROWS($B$2:B929))),"")</f>
        <v/>
      </c>
    </row>
    <row r="930" spans="1:2" x14ac:dyDescent="0.35">
      <c r="A930" t="str" cm="1">
        <f t="array" ref="A930">IFERROR(INDEX('Row Level Master Sheet'!$K$2:$K$1001,_xlfn.AGGREGATE(15,6,(ROW('Row Level Master Sheet'!$K$2:$K$1001)-ROW('Row Level Master Sheet'!$K$2)+1)/('Row Level Master Sheet'!$C$2:$C$1001="Digital"),ROWS($A$2:A930))),"")</f>
        <v/>
      </c>
      <c r="B930" s="39" t="str" cm="1">
        <f t="array" ref="B930">IFERROR(INDEX('Row Level Master Sheet'!$K$2:$K$1001,_xlfn.AGGREGATE(15,6,(ROW('Row Level Master Sheet'!$K$2:$K$1001)-ROW('Row Level Master Sheet'!$K$2)+1)/('Row Level Master Sheet'!$C$2:$C$1001="Traditional"),ROWS($B$2:B930))),"")</f>
        <v/>
      </c>
    </row>
    <row r="931" spans="1:2" x14ac:dyDescent="0.35">
      <c r="A931" t="str" cm="1">
        <f t="array" ref="A931">IFERROR(INDEX('Row Level Master Sheet'!$K$2:$K$1001,_xlfn.AGGREGATE(15,6,(ROW('Row Level Master Sheet'!$K$2:$K$1001)-ROW('Row Level Master Sheet'!$K$2)+1)/('Row Level Master Sheet'!$C$2:$C$1001="Digital"),ROWS($A$2:A931))),"")</f>
        <v/>
      </c>
      <c r="B931" s="39" t="str" cm="1">
        <f t="array" ref="B931">IFERROR(INDEX('Row Level Master Sheet'!$K$2:$K$1001,_xlfn.AGGREGATE(15,6,(ROW('Row Level Master Sheet'!$K$2:$K$1001)-ROW('Row Level Master Sheet'!$K$2)+1)/('Row Level Master Sheet'!$C$2:$C$1001="Traditional"),ROWS($B$2:B931))),"")</f>
        <v/>
      </c>
    </row>
    <row r="932" spans="1:2" x14ac:dyDescent="0.35">
      <c r="A932" t="str" cm="1">
        <f t="array" ref="A932">IFERROR(INDEX('Row Level Master Sheet'!$K$2:$K$1001,_xlfn.AGGREGATE(15,6,(ROW('Row Level Master Sheet'!$K$2:$K$1001)-ROW('Row Level Master Sheet'!$K$2)+1)/('Row Level Master Sheet'!$C$2:$C$1001="Digital"),ROWS($A$2:A932))),"")</f>
        <v/>
      </c>
      <c r="B932" s="39" t="str" cm="1">
        <f t="array" ref="B932">IFERROR(INDEX('Row Level Master Sheet'!$K$2:$K$1001,_xlfn.AGGREGATE(15,6,(ROW('Row Level Master Sheet'!$K$2:$K$1001)-ROW('Row Level Master Sheet'!$K$2)+1)/('Row Level Master Sheet'!$C$2:$C$1001="Traditional"),ROWS($B$2:B932))),"")</f>
        <v/>
      </c>
    </row>
    <row r="933" spans="1:2" x14ac:dyDescent="0.35">
      <c r="A933" t="str" cm="1">
        <f t="array" ref="A933">IFERROR(INDEX('Row Level Master Sheet'!$K$2:$K$1001,_xlfn.AGGREGATE(15,6,(ROW('Row Level Master Sheet'!$K$2:$K$1001)-ROW('Row Level Master Sheet'!$K$2)+1)/('Row Level Master Sheet'!$C$2:$C$1001="Digital"),ROWS($A$2:A933))),"")</f>
        <v/>
      </c>
      <c r="B933" s="39" t="str" cm="1">
        <f t="array" ref="B933">IFERROR(INDEX('Row Level Master Sheet'!$K$2:$K$1001,_xlfn.AGGREGATE(15,6,(ROW('Row Level Master Sheet'!$K$2:$K$1001)-ROW('Row Level Master Sheet'!$K$2)+1)/('Row Level Master Sheet'!$C$2:$C$1001="Traditional"),ROWS($B$2:B933))),"")</f>
        <v/>
      </c>
    </row>
    <row r="934" spans="1:2" x14ac:dyDescent="0.35">
      <c r="A934" t="str" cm="1">
        <f t="array" ref="A934">IFERROR(INDEX('Row Level Master Sheet'!$K$2:$K$1001,_xlfn.AGGREGATE(15,6,(ROW('Row Level Master Sheet'!$K$2:$K$1001)-ROW('Row Level Master Sheet'!$K$2)+1)/('Row Level Master Sheet'!$C$2:$C$1001="Digital"),ROWS($A$2:A934))),"")</f>
        <v/>
      </c>
      <c r="B934" s="39" t="str" cm="1">
        <f t="array" ref="B934">IFERROR(INDEX('Row Level Master Sheet'!$K$2:$K$1001,_xlfn.AGGREGATE(15,6,(ROW('Row Level Master Sheet'!$K$2:$K$1001)-ROW('Row Level Master Sheet'!$K$2)+1)/('Row Level Master Sheet'!$C$2:$C$1001="Traditional"),ROWS($B$2:B934))),"")</f>
        <v/>
      </c>
    </row>
    <row r="935" spans="1:2" x14ac:dyDescent="0.35">
      <c r="A935" t="str" cm="1">
        <f t="array" ref="A935">IFERROR(INDEX('Row Level Master Sheet'!$K$2:$K$1001,_xlfn.AGGREGATE(15,6,(ROW('Row Level Master Sheet'!$K$2:$K$1001)-ROW('Row Level Master Sheet'!$K$2)+1)/('Row Level Master Sheet'!$C$2:$C$1001="Digital"),ROWS($A$2:A935))),"")</f>
        <v/>
      </c>
      <c r="B935" s="39" t="str" cm="1">
        <f t="array" ref="B935">IFERROR(INDEX('Row Level Master Sheet'!$K$2:$K$1001,_xlfn.AGGREGATE(15,6,(ROW('Row Level Master Sheet'!$K$2:$K$1001)-ROW('Row Level Master Sheet'!$K$2)+1)/('Row Level Master Sheet'!$C$2:$C$1001="Traditional"),ROWS($B$2:B935))),"")</f>
        <v/>
      </c>
    </row>
    <row r="936" spans="1:2" x14ac:dyDescent="0.35">
      <c r="A936" t="str" cm="1">
        <f t="array" ref="A936">IFERROR(INDEX('Row Level Master Sheet'!$K$2:$K$1001,_xlfn.AGGREGATE(15,6,(ROW('Row Level Master Sheet'!$K$2:$K$1001)-ROW('Row Level Master Sheet'!$K$2)+1)/('Row Level Master Sheet'!$C$2:$C$1001="Digital"),ROWS($A$2:A936))),"")</f>
        <v/>
      </c>
      <c r="B936" s="39" t="str" cm="1">
        <f t="array" ref="B936">IFERROR(INDEX('Row Level Master Sheet'!$K$2:$K$1001,_xlfn.AGGREGATE(15,6,(ROW('Row Level Master Sheet'!$K$2:$K$1001)-ROW('Row Level Master Sheet'!$K$2)+1)/('Row Level Master Sheet'!$C$2:$C$1001="Traditional"),ROWS($B$2:B936))),"")</f>
        <v/>
      </c>
    </row>
    <row r="937" spans="1:2" x14ac:dyDescent="0.35">
      <c r="A937" t="str" cm="1">
        <f t="array" ref="A937">IFERROR(INDEX('Row Level Master Sheet'!$K$2:$K$1001,_xlfn.AGGREGATE(15,6,(ROW('Row Level Master Sheet'!$K$2:$K$1001)-ROW('Row Level Master Sheet'!$K$2)+1)/('Row Level Master Sheet'!$C$2:$C$1001="Digital"),ROWS($A$2:A937))),"")</f>
        <v/>
      </c>
      <c r="B937" s="39" t="str" cm="1">
        <f t="array" ref="B937">IFERROR(INDEX('Row Level Master Sheet'!$K$2:$K$1001,_xlfn.AGGREGATE(15,6,(ROW('Row Level Master Sheet'!$K$2:$K$1001)-ROW('Row Level Master Sheet'!$K$2)+1)/('Row Level Master Sheet'!$C$2:$C$1001="Traditional"),ROWS($B$2:B937))),"")</f>
        <v/>
      </c>
    </row>
    <row r="938" spans="1:2" x14ac:dyDescent="0.35">
      <c r="A938" t="str" cm="1">
        <f t="array" ref="A938">IFERROR(INDEX('Row Level Master Sheet'!$K$2:$K$1001,_xlfn.AGGREGATE(15,6,(ROW('Row Level Master Sheet'!$K$2:$K$1001)-ROW('Row Level Master Sheet'!$K$2)+1)/('Row Level Master Sheet'!$C$2:$C$1001="Digital"),ROWS($A$2:A938))),"")</f>
        <v/>
      </c>
      <c r="B938" s="39" t="str" cm="1">
        <f t="array" ref="B938">IFERROR(INDEX('Row Level Master Sheet'!$K$2:$K$1001,_xlfn.AGGREGATE(15,6,(ROW('Row Level Master Sheet'!$K$2:$K$1001)-ROW('Row Level Master Sheet'!$K$2)+1)/('Row Level Master Sheet'!$C$2:$C$1001="Traditional"),ROWS($B$2:B938))),"")</f>
        <v/>
      </c>
    </row>
    <row r="939" spans="1:2" x14ac:dyDescent="0.35">
      <c r="A939" t="str" cm="1">
        <f t="array" ref="A939">IFERROR(INDEX('Row Level Master Sheet'!$K$2:$K$1001,_xlfn.AGGREGATE(15,6,(ROW('Row Level Master Sheet'!$K$2:$K$1001)-ROW('Row Level Master Sheet'!$K$2)+1)/('Row Level Master Sheet'!$C$2:$C$1001="Digital"),ROWS($A$2:A939))),"")</f>
        <v/>
      </c>
      <c r="B939" s="39" t="str" cm="1">
        <f t="array" ref="B939">IFERROR(INDEX('Row Level Master Sheet'!$K$2:$K$1001,_xlfn.AGGREGATE(15,6,(ROW('Row Level Master Sheet'!$K$2:$K$1001)-ROW('Row Level Master Sheet'!$K$2)+1)/('Row Level Master Sheet'!$C$2:$C$1001="Traditional"),ROWS($B$2:B939))),"")</f>
        <v/>
      </c>
    </row>
    <row r="940" spans="1:2" x14ac:dyDescent="0.35">
      <c r="A940" t="str" cm="1">
        <f t="array" ref="A940">IFERROR(INDEX('Row Level Master Sheet'!$K$2:$K$1001,_xlfn.AGGREGATE(15,6,(ROW('Row Level Master Sheet'!$K$2:$K$1001)-ROW('Row Level Master Sheet'!$K$2)+1)/('Row Level Master Sheet'!$C$2:$C$1001="Digital"),ROWS($A$2:A940))),"")</f>
        <v/>
      </c>
      <c r="B940" s="39" t="str" cm="1">
        <f t="array" ref="B940">IFERROR(INDEX('Row Level Master Sheet'!$K$2:$K$1001,_xlfn.AGGREGATE(15,6,(ROW('Row Level Master Sheet'!$K$2:$K$1001)-ROW('Row Level Master Sheet'!$K$2)+1)/('Row Level Master Sheet'!$C$2:$C$1001="Traditional"),ROWS($B$2:B940))),"")</f>
        <v/>
      </c>
    </row>
    <row r="941" spans="1:2" x14ac:dyDescent="0.35">
      <c r="A941" t="str" cm="1">
        <f t="array" ref="A941">IFERROR(INDEX('Row Level Master Sheet'!$K$2:$K$1001,_xlfn.AGGREGATE(15,6,(ROW('Row Level Master Sheet'!$K$2:$K$1001)-ROW('Row Level Master Sheet'!$K$2)+1)/('Row Level Master Sheet'!$C$2:$C$1001="Digital"),ROWS($A$2:A941))),"")</f>
        <v/>
      </c>
      <c r="B941" s="39" t="str" cm="1">
        <f t="array" ref="B941">IFERROR(INDEX('Row Level Master Sheet'!$K$2:$K$1001,_xlfn.AGGREGATE(15,6,(ROW('Row Level Master Sheet'!$K$2:$K$1001)-ROW('Row Level Master Sheet'!$K$2)+1)/('Row Level Master Sheet'!$C$2:$C$1001="Traditional"),ROWS($B$2:B941))),"")</f>
        <v/>
      </c>
    </row>
    <row r="942" spans="1:2" x14ac:dyDescent="0.35">
      <c r="A942" t="str" cm="1">
        <f t="array" ref="A942">IFERROR(INDEX('Row Level Master Sheet'!$K$2:$K$1001,_xlfn.AGGREGATE(15,6,(ROW('Row Level Master Sheet'!$K$2:$K$1001)-ROW('Row Level Master Sheet'!$K$2)+1)/('Row Level Master Sheet'!$C$2:$C$1001="Digital"),ROWS($A$2:A942))),"")</f>
        <v/>
      </c>
      <c r="B942" s="39" t="str" cm="1">
        <f t="array" ref="B942">IFERROR(INDEX('Row Level Master Sheet'!$K$2:$K$1001,_xlfn.AGGREGATE(15,6,(ROW('Row Level Master Sheet'!$K$2:$K$1001)-ROW('Row Level Master Sheet'!$K$2)+1)/('Row Level Master Sheet'!$C$2:$C$1001="Traditional"),ROWS($B$2:B942))),"")</f>
        <v/>
      </c>
    </row>
    <row r="943" spans="1:2" x14ac:dyDescent="0.35">
      <c r="A943" t="str" cm="1">
        <f t="array" ref="A943">IFERROR(INDEX('Row Level Master Sheet'!$K$2:$K$1001,_xlfn.AGGREGATE(15,6,(ROW('Row Level Master Sheet'!$K$2:$K$1001)-ROW('Row Level Master Sheet'!$K$2)+1)/('Row Level Master Sheet'!$C$2:$C$1001="Digital"),ROWS($A$2:A943))),"")</f>
        <v/>
      </c>
      <c r="B943" s="39" t="str" cm="1">
        <f t="array" ref="B943">IFERROR(INDEX('Row Level Master Sheet'!$K$2:$K$1001,_xlfn.AGGREGATE(15,6,(ROW('Row Level Master Sheet'!$K$2:$K$1001)-ROW('Row Level Master Sheet'!$K$2)+1)/('Row Level Master Sheet'!$C$2:$C$1001="Traditional"),ROWS($B$2:B943))),"")</f>
        <v/>
      </c>
    </row>
    <row r="944" spans="1:2" x14ac:dyDescent="0.35">
      <c r="A944" t="str" cm="1">
        <f t="array" ref="A944">IFERROR(INDEX('Row Level Master Sheet'!$K$2:$K$1001,_xlfn.AGGREGATE(15,6,(ROW('Row Level Master Sheet'!$K$2:$K$1001)-ROW('Row Level Master Sheet'!$K$2)+1)/('Row Level Master Sheet'!$C$2:$C$1001="Digital"),ROWS($A$2:A944))),"")</f>
        <v/>
      </c>
      <c r="B944" s="39" t="str" cm="1">
        <f t="array" ref="B944">IFERROR(INDEX('Row Level Master Sheet'!$K$2:$K$1001,_xlfn.AGGREGATE(15,6,(ROW('Row Level Master Sheet'!$K$2:$K$1001)-ROW('Row Level Master Sheet'!$K$2)+1)/('Row Level Master Sheet'!$C$2:$C$1001="Traditional"),ROWS($B$2:B944))),"")</f>
        <v/>
      </c>
    </row>
    <row r="945" spans="1:2" x14ac:dyDescent="0.35">
      <c r="A945" t="str" cm="1">
        <f t="array" ref="A945">IFERROR(INDEX('Row Level Master Sheet'!$K$2:$K$1001,_xlfn.AGGREGATE(15,6,(ROW('Row Level Master Sheet'!$K$2:$K$1001)-ROW('Row Level Master Sheet'!$K$2)+1)/('Row Level Master Sheet'!$C$2:$C$1001="Digital"),ROWS($A$2:A945))),"")</f>
        <v/>
      </c>
      <c r="B945" s="39" t="str" cm="1">
        <f t="array" ref="B945">IFERROR(INDEX('Row Level Master Sheet'!$K$2:$K$1001,_xlfn.AGGREGATE(15,6,(ROW('Row Level Master Sheet'!$K$2:$K$1001)-ROW('Row Level Master Sheet'!$K$2)+1)/('Row Level Master Sheet'!$C$2:$C$1001="Traditional"),ROWS($B$2:B945))),"")</f>
        <v/>
      </c>
    </row>
    <row r="946" spans="1:2" x14ac:dyDescent="0.35">
      <c r="A946" t="str" cm="1">
        <f t="array" ref="A946">IFERROR(INDEX('Row Level Master Sheet'!$K$2:$K$1001,_xlfn.AGGREGATE(15,6,(ROW('Row Level Master Sheet'!$K$2:$K$1001)-ROW('Row Level Master Sheet'!$K$2)+1)/('Row Level Master Sheet'!$C$2:$C$1001="Digital"),ROWS($A$2:A946))),"")</f>
        <v/>
      </c>
      <c r="B946" s="39" t="str" cm="1">
        <f t="array" ref="B946">IFERROR(INDEX('Row Level Master Sheet'!$K$2:$K$1001,_xlfn.AGGREGATE(15,6,(ROW('Row Level Master Sheet'!$K$2:$K$1001)-ROW('Row Level Master Sheet'!$K$2)+1)/('Row Level Master Sheet'!$C$2:$C$1001="Traditional"),ROWS($B$2:B946))),"")</f>
        <v/>
      </c>
    </row>
    <row r="947" spans="1:2" x14ac:dyDescent="0.35">
      <c r="A947" t="str" cm="1">
        <f t="array" ref="A947">IFERROR(INDEX('Row Level Master Sheet'!$K$2:$K$1001,_xlfn.AGGREGATE(15,6,(ROW('Row Level Master Sheet'!$K$2:$K$1001)-ROW('Row Level Master Sheet'!$K$2)+1)/('Row Level Master Sheet'!$C$2:$C$1001="Digital"),ROWS($A$2:A947))),"")</f>
        <v/>
      </c>
      <c r="B947" s="39" t="str" cm="1">
        <f t="array" ref="B947">IFERROR(INDEX('Row Level Master Sheet'!$K$2:$K$1001,_xlfn.AGGREGATE(15,6,(ROW('Row Level Master Sheet'!$K$2:$K$1001)-ROW('Row Level Master Sheet'!$K$2)+1)/('Row Level Master Sheet'!$C$2:$C$1001="Traditional"),ROWS($B$2:B947))),"")</f>
        <v/>
      </c>
    </row>
    <row r="948" spans="1:2" x14ac:dyDescent="0.35">
      <c r="A948" t="str" cm="1">
        <f t="array" ref="A948">IFERROR(INDEX('Row Level Master Sheet'!$K$2:$K$1001,_xlfn.AGGREGATE(15,6,(ROW('Row Level Master Sheet'!$K$2:$K$1001)-ROW('Row Level Master Sheet'!$K$2)+1)/('Row Level Master Sheet'!$C$2:$C$1001="Digital"),ROWS($A$2:A948))),"")</f>
        <v/>
      </c>
      <c r="B948" s="39" t="str" cm="1">
        <f t="array" ref="B948">IFERROR(INDEX('Row Level Master Sheet'!$K$2:$K$1001,_xlfn.AGGREGATE(15,6,(ROW('Row Level Master Sheet'!$K$2:$K$1001)-ROW('Row Level Master Sheet'!$K$2)+1)/('Row Level Master Sheet'!$C$2:$C$1001="Traditional"),ROWS($B$2:B948))),"")</f>
        <v/>
      </c>
    </row>
    <row r="949" spans="1:2" x14ac:dyDescent="0.35">
      <c r="A949" t="str" cm="1">
        <f t="array" ref="A949">IFERROR(INDEX('Row Level Master Sheet'!$K$2:$K$1001,_xlfn.AGGREGATE(15,6,(ROW('Row Level Master Sheet'!$K$2:$K$1001)-ROW('Row Level Master Sheet'!$K$2)+1)/('Row Level Master Sheet'!$C$2:$C$1001="Digital"),ROWS($A$2:A949))),"")</f>
        <v/>
      </c>
      <c r="B949" s="39" t="str" cm="1">
        <f t="array" ref="B949">IFERROR(INDEX('Row Level Master Sheet'!$K$2:$K$1001,_xlfn.AGGREGATE(15,6,(ROW('Row Level Master Sheet'!$K$2:$K$1001)-ROW('Row Level Master Sheet'!$K$2)+1)/('Row Level Master Sheet'!$C$2:$C$1001="Traditional"),ROWS($B$2:B949))),"")</f>
        <v/>
      </c>
    </row>
    <row r="950" spans="1:2" x14ac:dyDescent="0.35">
      <c r="A950" t="str" cm="1">
        <f t="array" ref="A950">IFERROR(INDEX('Row Level Master Sheet'!$K$2:$K$1001,_xlfn.AGGREGATE(15,6,(ROW('Row Level Master Sheet'!$K$2:$K$1001)-ROW('Row Level Master Sheet'!$K$2)+1)/('Row Level Master Sheet'!$C$2:$C$1001="Digital"),ROWS($A$2:A950))),"")</f>
        <v/>
      </c>
      <c r="B950" s="39" t="str" cm="1">
        <f t="array" ref="B950">IFERROR(INDEX('Row Level Master Sheet'!$K$2:$K$1001,_xlfn.AGGREGATE(15,6,(ROW('Row Level Master Sheet'!$K$2:$K$1001)-ROW('Row Level Master Sheet'!$K$2)+1)/('Row Level Master Sheet'!$C$2:$C$1001="Traditional"),ROWS($B$2:B950))),"")</f>
        <v/>
      </c>
    </row>
    <row r="951" spans="1:2" x14ac:dyDescent="0.35">
      <c r="A951" t="str" cm="1">
        <f t="array" ref="A951">IFERROR(INDEX('Row Level Master Sheet'!$K$2:$K$1001,_xlfn.AGGREGATE(15,6,(ROW('Row Level Master Sheet'!$K$2:$K$1001)-ROW('Row Level Master Sheet'!$K$2)+1)/('Row Level Master Sheet'!$C$2:$C$1001="Digital"),ROWS($A$2:A951))),"")</f>
        <v/>
      </c>
      <c r="B951" s="39" t="str" cm="1">
        <f t="array" ref="B951">IFERROR(INDEX('Row Level Master Sheet'!$K$2:$K$1001,_xlfn.AGGREGATE(15,6,(ROW('Row Level Master Sheet'!$K$2:$K$1001)-ROW('Row Level Master Sheet'!$K$2)+1)/('Row Level Master Sheet'!$C$2:$C$1001="Traditional"),ROWS($B$2:B951))),"")</f>
        <v/>
      </c>
    </row>
    <row r="952" spans="1:2" x14ac:dyDescent="0.35">
      <c r="A952" t="str" cm="1">
        <f t="array" ref="A952">IFERROR(INDEX('Row Level Master Sheet'!$K$2:$K$1001,_xlfn.AGGREGATE(15,6,(ROW('Row Level Master Sheet'!$K$2:$K$1001)-ROW('Row Level Master Sheet'!$K$2)+1)/('Row Level Master Sheet'!$C$2:$C$1001="Digital"),ROWS($A$2:A952))),"")</f>
        <v/>
      </c>
      <c r="B952" s="39" t="str" cm="1">
        <f t="array" ref="B952">IFERROR(INDEX('Row Level Master Sheet'!$K$2:$K$1001,_xlfn.AGGREGATE(15,6,(ROW('Row Level Master Sheet'!$K$2:$K$1001)-ROW('Row Level Master Sheet'!$K$2)+1)/('Row Level Master Sheet'!$C$2:$C$1001="Traditional"),ROWS($B$2:B952))),"")</f>
        <v/>
      </c>
    </row>
    <row r="953" spans="1:2" x14ac:dyDescent="0.35">
      <c r="A953" t="str" cm="1">
        <f t="array" ref="A953">IFERROR(INDEX('Row Level Master Sheet'!$K$2:$K$1001,_xlfn.AGGREGATE(15,6,(ROW('Row Level Master Sheet'!$K$2:$K$1001)-ROW('Row Level Master Sheet'!$K$2)+1)/('Row Level Master Sheet'!$C$2:$C$1001="Digital"),ROWS($A$2:A953))),"")</f>
        <v/>
      </c>
      <c r="B953" s="39" t="str" cm="1">
        <f t="array" ref="B953">IFERROR(INDEX('Row Level Master Sheet'!$K$2:$K$1001,_xlfn.AGGREGATE(15,6,(ROW('Row Level Master Sheet'!$K$2:$K$1001)-ROW('Row Level Master Sheet'!$K$2)+1)/('Row Level Master Sheet'!$C$2:$C$1001="Traditional"),ROWS($B$2:B953))),"")</f>
        <v/>
      </c>
    </row>
    <row r="954" spans="1:2" x14ac:dyDescent="0.35">
      <c r="A954" t="str" cm="1">
        <f t="array" ref="A954">IFERROR(INDEX('Row Level Master Sheet'!$K$2:$K$1001,_xlfn.AGGREGATE(15,6,(ROW('Row Level Master Sheet'!$K$2:$K$1001)-ROW('Row Level Master Sheet'!$K$2)+1)/('Row Level Master Sheet'!$C$2:$C$1001="Digital"),ROWS($A$2:A954))),"")</f>
        <v/>
      </c>
      <c r="B954" s="39" t="str" cm="1">
        <f t="array" ref="B954">IFERROR(INDEX('Row Level Master Sheet'!$K$2:$K$1001,_xlfn.AGGREGATE(15,6,(ROW('Row Level Master Sheet'!$K$2:$K$1001)-ROW('Row Level Master Sheet'!$K$2)+1)/('Row Level Master Sheet'!$C$2:$C$1001="Traditional"),ROWS($B$2:B954))),"")</f>
        <v/>
      </c>
    </row>
    <row r="955" spans="1:2" x14ac:dyDescent="0.35">
      <c r="A955" t="str" cm="1">
        <f t="array" ref="A955">IFERROR(INDEX('Row Level Master Sheet'!$K$2:$K$1001,_xlfn.AGGREGATE(15,6,(ROW('Row Level Master Sheet'!$K$2:$K$1001)-ROW('Row Level Master Sheet'!$K$2)+1)/('Row Level Master Sheet'!$C$2:$C$1001="Digital"),ROWS($A$2:A955))),"")</f>
        <v/>
      </c>
      <c r="B955" s="39" t="str" cm="1">
        <f t="array" ref="B955">IFERROR(INDEX('Row Level Master Sheet'!$K$2:$K$1001,_xlfn.AGGREGATE(15,6,(ROW('Row Level Master Sheet'!$K$2:$K$1001)-ROW('Row Level Master Sheet'!$K$2)+1)/('Row Level Master Sheet'!$C$2:$C$1001="Traditional"),ROWS($B$2:B955))),"")</f>
        <v/>
      </c>
    </row>
    <row r="956" spans="1:2" x14ac:dyDescent="0.35">
      <c r="A956" t="str" cm="1">
        <f t="array" ref="A956">IFERROR(INDEX('Row Level Master Sheet'!$K$2:$K$1001,_xlfn.AGGREGATE(15,6,(ROW('Row Level Master Sheet'!$K$2:$K$1001)-ROW('Row Level Master Sheet'!$K$2)+1)/('Row Level Master Sheet'!$C$2:$C$1001="Digital"),ROWS($A$2:A956))),"")</f>
        <v/>
      </c>
      <c r="B956" s="39" t="str" cm="1">
        <f t="array" ref="B956">IFERROR(INDEX('Row Level Master Sheet'!$K$2:$K$1001,_xlfn.AGGREGATE(15,6,(ROW('Row Level Master Sheet'!$K$2:$K$1001)-ROW('Row Level Master Sheet'!$K$2)+1)/('Row Level Master Sheet'!$C$2:$C$1001="Traditional"),ROWS($B$2:B956))),"")</f>
        <v/>
      </c>
    </row>
    <row r="957" spans="1:2" x14ac:dyDescent="0.35">
      <c r="A957" t="str" cm="1">
        <f t="array" ref="A957">IFERROR(INDEX('Row Level Master Sheet'!$K$2:$K$1001,_xlfn.AGGREGATE(15,6,(ROW('Row Level Master Sheet'!$K$2:$K$1001)-ROW('Row Level Master Sheet'!$K$2)+1)/('Row Level Master Sheet'!$C$2:$C$1001="Digital"),ROWS($A$2:A957))),"")</f>
        <v/>
      </c>
      <c r="B957" s="39" t="str" cm="1">
        <f t="array" ref="B957">IFERROR(INDEX('Row Level Master Sheet'!$K$2:$K$1001,_xlfn.AGGREGATE(15,6,(ROW('Row Level Master Sheet'!$K$2:$K$1001)-ROW('Row Level Master Sheet'!$K$2)+1)/('Row Level Master Sheet'!$C$2:$C$1001="Traditional"),ROWS($B$2:B957))),"")</f>
        <v/>
      </c>
    </row>
    <row r="958" spans="1:2" x14ac:dyDescent="0.35">
      <c r="A958" t="str" cm="1">
        <f t="array" ref="A958">IFERROR(INDEX('Row Level Master Sheet'!$K$2:$K$1001,_xlfn.AGGREGATE(15,6,(ROW('Row Level Master Sheet'!$K$2:$K$1001)-ROW('Row Level Master Sheet'!$K$2)+1)/('Row Level Master Sheet'!$C$2:$C$1001="Digital"),ROWS($A$2:A958))),"")</f>
        <v/>
      </c>
      <c r="B958" s="39" t="str" cm="1">
        <f t="array" ref="B958">IFERROR(INDEX('Row Level Master Sheet'!$K$2:$K$1001,_xlfn.AGGREGATE(15,6,(ROW('Row Level Master Sheet'!$K$2:$K$1001)-ROW('Row Level Master Sheet'!$K$2)+1)/('Row Level Master Sheet'!$C$2:$C$1001="Traditional"),ROWS($B$2:B958))),"")</f>
        <v/>
      </c>
    </row>
    <row r="959" spans="1:2" x14ac:dyDescent="0.35">
      <c r="A959" t="str" cm="1">
        <f t="array" ref="A959">IFERROR(INDEX('Row Level Master Sheet'!$K$2:$K$1001,_xlfn.AGGREGATE(15,6,(ROW('Row Level Master Sheet'!$K$2:$K$1001)-ROW('Row Level Master Sheet'!$K$2)+1)/('Row Level Master Sheet'!$C$2:$C$1001="Digital"),ROWS($A$2:A959))),"")</f>
        <v/>
      </c>
      <c r="B959" s="39" t="str" cm="1">
        <f t="array" ref="B959">IFERROR(INDEX('Row Level Master Sheet'!$K$2:$K$1001,_xlfn.AGGREGATE(15,6,(ROW('Row Level Master Sheet'!$K$2:$K$1001)-ROW('Row Level Master Sheet'!$K$2)+1)/('Row Level Master Sheet'!$C$2:$C$1001="Traditional"),ROWS($B$2:B959))),"")</f>
        <v/>
      </c>
    </row>
    <row r="960" spans="1:2" x14ac:dyDescent="0.35">
      <c r="A960" t="str" cm="1">
        <f t="array" ref="A960">IFERROR(INDEX('Row Level Master Sheet'!$K$2:$K$1001,_xlfn.AGGREGATE(15,6,(ROW('Row Level Master Sheet'!$K$2:$K$1001)-ROW('Row Level Master Sheet'!$K$2)+1)/('Row Level Master Sheet'!$C$2:$C$1001="Digital"),ROWS($A$2:A960))),"")</f>
        <v/>
      </c>
      <c r="B960" s="39" t="str" cm="1">
        <f t="array" ref="B960">IFERROR(INDEX('Row Level Master Sheet'!$K$2:$K$1001,_xlfn.AGGREGATE(15,6,(ROW('Row Level Master Sheet'!$K$2:$K$1001)-ROW('Row Level Master Sheet'!$K$2)+1)/('Row Level Master Sheet'!$C$2:$C$1001="Traditional"),ROWS($B$2:B960))),"")</f>
        <v/>
      </c>
    </row>
    <row r="961" spans="1:2" x14ac:dyDescent="0.35">
      <c r="A961" t="str" cm="1">
        <f t="array" ref="A961">IFERROR(INDEX('Row Level Master Sheet'!$K$2:$K$1001,_xlfn.AGGREGATE(15,6,(ROW('Row Level Master Sheet'!$K$2:$K$1001)-ROW('Row Level Master Sheet'!$K$2)+1)/('Row Level Master Sheet'!$C$2:$C$1001="Digital"),ROWS($A$2:A961))),"")</f>
        <v/>
      </c>
      <c r="B961" s="39" t="str" cm="1">
        <f t="array" ref="B961">IFERROR(INDEX('Row Level Master Sheet'!$K$2:$K$1001,_xlfn.AGGREGATE(15,6,(ROW('Row Level Master Sheet'!$K$2:$K$1001)-ROW('Row Level Master Sheet'!$K$2)+1)/('Row Level Master Sheet'!$C$2:$C$1001="Traditional"),ROWS($B$2:B961))),"")</f>
        <v/>
      </c>
    </row>
    <row r="962" spans="1:2" x14ac:dyDescent="0.35">
      <c r="A962" t="str" cm="1">
        <f t="array" ref="A962">IFERROR(INDEX('Row Level Master Sheet'!$K$2:$K$1001,_xlfn.AGGREGATE(15,6,(ROW('Row Level Master Sheet'!$K$2:$K$1001)-ROW('Row Level Master Sheet'!$K$2)+1)/('Row Level Master Sheet'!$C$2:$C$1001="Digital"),ROWS($A$2:A962))),"")</f>
        <v/>
      </c>
      <c r="B962" s="39" t="str" cm="1">
        <f t="array" ref="B962">IFERROR(INDEX('Row Level Master Sheet'!$K$2:$K$1001,_xlfn.AGGREGATE(15,6,(ROW('Row Level Master Sheet'!$K$2:$K$1001)-ROW('Row Level Master Sheet'!$K$2)+1)/('Row Level Master Sheet'!$C$2:$C$1001="Traditional"),ROWS($B$2:B962))),"")</f>
        <v/>
      </c>
    </row>
    <row r="963" spans="1:2" x14ac:dyDescent="0.35">
      <c r="A963" t="str" cm="1">
        <f t="array" ref="A963">IFERROR(INDEX('Row Level Master Sheet'!$K$2:$K$1001,_xlfn.AGGREGATE(15,6,(ROW('Row Level Master Sheet'!$K$2:$K$1001)-ROW('Row Level Master Sheet'!$K$2)+1)/('Row Level Master Sheet'!$C$2:$C$1001="Digital"),ROWS($A$2:A963))),"")</f>
        <v/>
      </c>
      <c r="B963" s="39" t="str" cm="1">
        <f t="array" ref="B963">IFERROR(INDEX('Row Level Master Sheet'!$K$2:$K$1001,_xlfn.AGGREGATE(15,6,(ROW('Row Level Master Sheet'!$K$2:$K$1001)-ROW('Row Level Master Sheet'!$K$2)+1)/('Row Level Master Sheet'!$C$2:$C$1001="Traditional"),ROWS($B$2:B963))),"")</f>
        <v/>
      </c>
    </row>
    <row r="964" spans="1:2" x14ac:dyDescent="0.35">
      <c r="A964" t="str" cm="1">
        <f t="array" ref="A964">IFERROR(INDEX('Row Level Master Sheet'!$K$2:$K$1001,_xlfn.AGGREGATE(15,6,(ROW('Row Level Master Sheet'!$K$2:$K$1001)-ROW('Row Level Master Sheet'!$K$2)+1)/('Row Level Master Sheet'!$C$2:$C$1001="Digital"),ROWS($A$2:A964))),"")</f>
        <v/>
      </c>
      <c r="B964" s="39" t="str" cm="1">
        <f t="array" ref="B964">IFERROR(INDEX('Row Level Master Sheet'!$K$2:$K$1001,_xlfn.AGGREGATE(15,6,(ROW('Row Level Master Sheet'!$K$2:$K$1001)-ROW('Row Level Master Sheet'!$K$2)+1)/('Row Level Master Sheet'!$C$2:$C$1001="Traditional"),ROWS($B$2:B964))),"")</f>
        <v/>
      </c>
    </row>
    <row r="965" spans="1:2" x14ac:dyDescent="0.35">
      <c r="A965" t="str" cm="1">
        <f t="array" ref="A965">IFERROR(INDEX('Row Level Master Sheet'!$K$2:$K$1001,_xlfn.AGGREGATE(15,6,(ROW('Row Level Master Sheet'!$K$2:$K$1001)-ROW('Row Level Master Sheet'!$K$2)+1)/('Row Level Master Sheet'!$C$2:$C$1001="Digital"),ROWS($A$2:A965))),"")</f>
        <v/>
      </c>
      <c r="B965" s="39" t="str" cm="1">
        <f t="array" ref="B965">IFERROR(INDEX('Row Level Master Sheet'!$K$2:$K$1001,_xlfn.AGGREGATE(15,6,(ROW('Row Level Master Sheet'!$K$2:$K$1001)-ROW('Row Level Master Sheet'!$K$2)+1)/('Row Level Master Sheet'!$C$2:$C$1001="Traditional"),ROWS($B$2:B965))),"")</f>
        <v/>
      </c>
    </row>
    <row r="966" spans="1:2" x14ac:dyDescent="0.35">
      <c r="A966" t="str" cm="1">
        <f t="array" ref="A966">IFERROR(INDEX('Row Level Master Sheet'!$K$2:$K$1001,_xlfn.AGGREGATE(15,6,(ROW('Row Level Master Sheet'!$K$2:$K$1001)-ROW('Row Level Master Sheet'!$K$2)+1)/('Row Level Master Sheet'!$C$2:$C$1001="Digital"),ROWS($A$2:A966))),"")</f>
        <v/>
      </c>
      <c r="B966" s="39" t="str" cm="1">
        <f t="array" ref="B966">IFERROR(INDEX('Row Level Master Sheet'!$K$2:$K$1001,_xlfn.AGGREGATE(15,6,(ROW('Row Level Master Sheet'!$K$2:$K$1001)-ROW('Row Level Master Sheet'!$K$2)+1)/('Row Level Master Sheet'!$C$2:$C$1001="Traditional"),ROWS($B$2:B966))),"")</f>
        <v/>
      </c>
    </row>
    <row r="967" spans="1:2" x14ac:dyDescent="0.35">
      <c r="A967" t="str" cm="1">
        <f t="array" ref="A967">IFERROR(INDEX('Row Level Master Sheet'!$K$2:$K$1001,_xlfn.AGGREGATE(15,6,(ROW('Row Level Master Sheet'!$K$2:$K$1001)-ROW('Row Level Master Sheet'!$K$2)+1)/('Row Level Master Sheet'!$C$2:$C$1001="Digital"),ROWS($A$2:A967))),"")</f>
        <v/>
      </c>
      <c r="B967" s="39" t="str" cm="1">
        <f t="array" ref="B967">IFERROR(INDEX('Row Level Master Sheet'!$K$2:$K$1001,_xlfn.AGGREGATE(15,6,(ROW('Row Level Master Sheet'!$K$2:$K$1001)-ROW('Row Level Master Sheet'!$K$2)+1)/('Row Level Master Sheet'!$C$2:$C$1001="Traditional"),ROWS($B$2:B967))),"")</f>
        <v/>
      </c>
    </row>
    <row r="968" spans="1:2" x14ac:dyDescent="0.35">
      <c r="A968" t="str" cm="1">
        <f t="array" ref="A968">IFERROR(INDEX('Row Level Master Sheet'!$K$2:$K$1001,_xlfn.AGGREGATE(15,6,(ROW('Row Level Master Sheet'!$K$2:$K$1001)-ROW('Row Level Master Sheet'!$K$2)+1)/('Row Level Master Sheet'!$C$2:$C$1001="Digital"),ROWS($A$2:A968))),"")</f>
        <v/>
      </c>
      <c r="B968" s="39" t="str" cm="1">
        <f t="array" ref="B968">IFERROR(INDEX('Row Level Master Sheet'!$K$2:$K$1001,_xlfn.AGGREGATE(15,6,(ROW('Row Level Master Sheet'!$K$2:$K$1001)-ROW('Row Level Master Sheet'!$K$2)+1)/('Row Level Master Sheet'!$C$2:$C$1001="Traditional"),ROWS($B$2:B968))),"")</f>
        <v/>
      </c>
    </row>
    <row r="969" spans="1:2" x14ac:dyDescent="0.35">
      <c r="A969" t="str" cm="1">
        <f t="array" ref="A969">IFERROR(INDEX('Row Level Master Sheet'!$K$2:$K$1001,_xlfn.AGGREGATE(15,6,(ROW('Row Level Master Sheet'!$K$2:$K$1001)-ROW('Row Level Master Sheet'!$K$2)+1)/('Row Level Master Sheet'!$C$2:$C$1001="Digital"),ROWS($A$2:A969))),"")</f>
        <v/>
      </c>
      <c r="B969" s="39" t="str" cm="1">
        <f t="array" ref="B969">IFERROR(INDEX('Row Level Master Sheet'!$K$2:$K$1001,_xlfn.AGGREGATE(15,6,(ROW('Row Level Master Sheet'!$K$2:$K$1001)-ROW('Row Level Master Sheet'!$K$2)+1)/('Row Level Master Sheet'!$C$2:$C$1001="Traditional"),ROWS($B$2:B969))),"")</f>
        <v/>
      </c>
    </row>
    <row r="970" spans="1:2" x14ac:dyDescent="0.35">
      <c r="A970" t="str" cm="1">
        <f t="array" ref="A970">IFERROR(INDEX('Row Level Master Sheet'!$K$2:$K$1001,_xlfn.AGGREGATE(15,6,(ROW('Row Level Master Sheet'!$K$2:$K$1001)-ROW('Row Level Master Sheet'!$K$2)+1)/('Row Level Master Sheet'!$C$2:$C$1001="Digital"),ROWS($A$2:A970))),"")</f>
        <v/>
      </c>
      <c r="B970" s="39" t="str" cm="1">
        <f t="array" ref="B970">IFERROR(INDEX('Row Level Master Sheet'!$K$2:$K$1001,_xlfn.AGGREGATE(15,6,(ROW('Row Level Master Sheet'!$K$2:$K$1001)-ROW('Row Level Master Sheet'!$K$2)+1)/('Row Level Master Sheet'!$C$2:$C$1001="Traditional"),ROWS($B$2:B970))),"")</f>
        <v/>
      </c>
    </row>
    <row r="971" spans="1:2" x14ac:dyDescent="0.35">
      <c r="A971" t="str" cm="1">
        <f t="array" ref="A971">IFERROR(INDEX('Row Level Master Sheet'!$K$2:$K$1001,_xlfn.AGGREGATE(15,6,(ROW('Row Level Master Sheet'!$K$2:$K$1001)-ROW('Row Level Master Sheet'!$K$2)+1)/('Row Level Master Sheet'!$C$2:$C$1001="Digital"),ROWS($A$2:A971))),"")</f>
        <v/>
      </c>
      <c r="B971" s="39" t="str" cm="1">
        <f t="array" ref="B971">IFERROR(INDEX('Row Level Master Sheet'!$K$2:$K$1001,_xlfn.AGGREGATE(15,6,(ROW('Row Level Master Sheet'!$K$2:$K$1001)-ROW('Row Level Master Sheet'!$K$2)+1)/('Row Level Master Sheet'!$C$2:$C$1001="Traditional"),ROWS($B$2:B971))),"")</f>
        <v/>
      </c>
    </row>
    <row r="972" spans="1:2" x14ac:dyDescent="0.35">
      <c r="A972" t="str" cm="1">
        <f t="array" ref="A972">IFERROR(INDEX('Row Level Master Sheet'!$K$2:$K$1001,_xlfn.AGGREGATE(15,6,(ROW('Row Level Master Sheet'!$K$2:$K$1001)-ROW('Row Level Master Sheet'!$K$2)+1)/('Row Level Master Sheet'!$C$2:$C$1001="Digital"),ROWS($A$2:A972))),"")</f>
        <v/>
      </c>
      <c r="B972" s="39" t="str" cm="1">
        <f t="array" ref="B972">IFERROR(INDEX('Row Level Master Sheet'!$K$2:$K$1001,_xlfn.AGGREGATE(15,6,(ROW('Row Level Master Sheet'!$K$2:$K$1001)-ROW('Row Level Master Sheet'!$K$2)+1)/('Row Level Master Sheet'!$C$2:$C$1001="Traditional"),ROWS($B$2:B972))),"")</f>
        <v/>
      </c>
    </row>
    <row r="973" spans="1:2" x14ac:dyDescent="0.35">
      <c r="A973" t="str" cm="1">
        <f t="array" ref="A973">IFERROR(INDEX('Row Level Master Sheet'!$K$2:$K$1001,_xlfn.AGGREGATE(15,6,(ROW('Row Level Master Sheet'!$K$2:$K$1001)-ROW('Row Level Master Sheet'!$K$2)+1)/('Row Level Master Sheet'!$C$2:$C$1001="Digital"),ROWS($A$2:A973))),"")</f>
        <v/>
      </c>
      <c r="B973" s="39" t="str" cm="1">
        <f t="array" ref="B973">IFERROR(INDEX('Row Level Master Sheet'!$K$2:$K$1001,_xlfn.AGGREGATE(15,6,(ROW('Row Level Master Sheet'!$K$2:$K$1001)-ROW('Row Level Master Sheet'!$K$2)+1)/('Row Level Master Sheet'!$C$2:$C$1001="Traditional"),ROWS($B$2:B973))),"")</f>
        <v/>
      </c>
    </row>
    <row r="974" spans="1:2" x14ac:dyDescent="0.35">
      <c r="A974" t="str" cm="1">
        <f t="array" ref="A974">IFERROR(INDEX('Row Level Master Sheet'!$K$2:$K$1001,_xlfn.AGGREGATE(15,6,(ROW('Row Level Master Sheet'!$K$2:$K$1001)-ROW('Row Level Master Sheet'!$K$2)+1)/('Row Level Master Sheet'!$C$2:$C$1001="Digital"),ROWS($A$2:A974))),"")</f>
        <v/>
      </c>
      <c r="B974" s="39" t="str" cm="1">
        <f t="array" ref="B974">IFERROR(INDEX('Row Level Master Sheet'!$K$2:$K$1001,_xlfn.AGGREGATE(15,6,(ROW('Row Level Master Sheet'!$K$2:$K$1001)-ROW('Row Level Master Sheet'!$K$2)+1)/('Row Level Master Sheet'!$C$2:$C$1001="Traditional"),ROWS($B$2:B974))),"")</f>
        <v/>
      </c>
    </row>
    <row r="975" spans="1:2" x14ac:dyDescent="0.35">
      <c r="A975" t="str" cm="1">
        <f t="array" ref="A975">IFERROR(INDEX('Row Level Master Sheet'!$K$2:$K$1001,_xlfn.AGGREGATE(15,6,(ROW('Row Level Master Sheet'!$K$2:$K$1001)-ROW('Row Level Master Sheet'!$K$2)+1)/('Row Level Master Sheet'!$C$2:$C$1001="Digital"),ROWS($A$2:A975))),"")</f>
        <v/>
      </c>
      <c r="B975" s="39" t="str" cm="1">
        <f t="array" ref="B975">IFERROR(INDEX('Row Level Master Sheet'!$K$2:$K$1001,_xlfn.AGGREGATE(15,6,(ROW('Row Level Master Sheet'!$K$2:$K$1001)-ROW('Row Level Master Sheet'!$K$2)+1)/('Row Level Master Sheet'!$C$2:$C$1001="Traditional"),ROWS($B$2:B975))),"")</f>
        <v/>
      </c>
    </row>
    <row r="976" spans="1:2" x14ac:dyDescent="0.35">
      <c r="A976" t="str" cm="1">
        <f t="array" ref="A976">IFERROR(INDEX('Row Level Master Sheet'!$K$2:$K$1001,_xlfn.AGGREGATE(15,6,(ROW('Row Level Master Sheet'!$K$2:$K$1001)-ROW('Row Level Master Sheet'!$K$2)+1)/('Row Level Master Sheet'!$C$2:$C$1001="Digital"),ROWS($A$2:A976))),"")</f>
        <v/>
      </c>
      <c r="B976" s="39" t="str" cm="1">
        <f t="array" ref="B976">IFERROR(INDEX('Row Level Master Sheet'!$K$2:$K$1001,_xlfn.AGGREGATE(15,6,(ROW('Row Level Master Sheet'!$K$2:$K$1001)-ROW('Row Level Master Sheet'!$K$2)+1)/('Row Level Master Sheet'!$C$2:$C$1001="Traditional"),ROWS($B$2:B976))),"")</f>
        <v/>
      </c>
    </row>
    <row r="977" spans="1:2" x14ac:dyDescent="0.35">
      <c r="A977" t="str" cm="1">
        <f t="array" ref="A977">IFERROR(INDEX('Row Level Master Sheet'!$K$2:$K$1001,_xlfn.AGGREGATE(15,6,(ROW('Row Level Master Sheet'!$K$2:$K$1001)-ROW('Row Level Master Sheet'!$K$2)+1)/('Row Level Master Sheet'!$C$2:$C$1001="Digital"),ROWS($A$2:A977))),"")</f>
        <v/>
      </c>
      <c r="B977" s="39" t="str" cm="1">
        <f t="array" ref="B977">IFERROR(INDEX('Row Level Master Sheet'!$K$2:$K$1001,_xlfn.AGGREGATE(15,6,(ROW('Row Level Master Sheet'!$K$2:$K$1001)-ROW('Row Level Master Sheet'!$K$2)+1)/('Row Level Master Sheet'!$C$2:$C$1001="Traditional"),ROWS($B$2:B977))),"")</f>
        <v/>
      </c>
    </row>
    <row r="978" spans="1:2" x14ac:dyDescent="0.35">
      <c r="A978" t="str" cm="1">
        <f t="array" ref="A978">IFERROR(INDEX('Row Level Master Sheet'!$K$2:$K$1001,_xlfn.AGGREGATE(15,6,(ROW('Row Level Master Sheet'!$K$2:$K$1001)-ROW('Row Level Master Sheet'!$K$2)+1)/('Row Level Master Sheet'!$C$2:$C$1001="Digital"),ROWS($A$2:A978))),"")</f>
        <v/>
      </c>
      <c r="B978" s="39" t="str" cm="1">
        <f t="array" ref="B978">IFERROR(INDEX('Row Level Master Sheet'!$K$2:$K$1001,_xlfn.AGGREGATE(15,6,(ROW('Row Level Master Sheet'!$K$2:$K$1001)-ROW('Row Level Master Sheet'!$K$2)+1)/('Row Level Master Sheet'!$C$2:$C$1001="Traditional"),ROWS($B$2:B978))),"")</f>
        <v/>
      </c>
    </row>
    <row r="979" spans="1:2" x14ac:dyDescent="0.35">
      <c r="A979" t="str" cm="1">
        <f t="array" ref="A979">IFERROR(INDEX('Row Level Master Sheet'!$K$2:$K$1001,_xlfn.AGGREGATE(15,6,(ROW('Row Level Master Sheet'!$K$2:$K$1001)-ROW('Row Level Master Sheet'!$K$2)+1)/('Row Level Master Sheet'!$C$2:$C$1001="Digital"),ROWS($A$2:A979))),"")</f>
        <v/>
      </c>
      <c r="B979" s="39" t="str" cm="1">
        <f t="array" ref="B979">IFERROR(INDEX('Row Level Master Sheet'!$K$2:$K$1001,_xlfn.AGGREGATE(15,6,(ROW('Row Level Master Sheet'!$K$2:$K$1001)-ROW('Row Level Master Sheet'!$K$2)+1)/('Row Level Master Sheet'!$C$2:$C$1001="Traditional"),ROWS($B$2:B979))),"")</f>
        <v/>
      </c>
    </row>
    <row r="980" spans="1:2" x14ac:dyDescent="0.35">
      <c r="A980" t="str" cm="1">
        <f t="array" ref="A980">IFERROR(INDEX('Row Level Master Sheet'!$K$2:$K$1001,_xlfn.AGGREGATE(15,6,(ROW('Row Level Master Sheet'!$K$2:$K$1001)-ROW('Row Level Master Sheet'!$K$2)+1)/('Row Level Master Sheet'!$C$2:$C$1001="Digital"),ROWS($A$2:A980))),"")</f>
        <v/>
      </c>
      <c r="B980" s="39" t="str" cm="1">
        <f t="array" ref="B980">IFERROR(INDEX('Row Level Master Sheet'!$K$2:$K$1001,_xlfn.AGGREGATE(15,6,(ROW('Row Level Master Sheet'!$K$2:$K$1001)-ROW('Row Level Master Sheet'!$K$2)+1)/('Row Level Master Sheet'!$C$2:$C$1001="Traditional"),ROWS($B$2:B980))),"")</f>
        <v/>
      </c>
    </row>
    <row r="981" spans="1:2" x14ac:dyDescent="0.35">
      <c r="A981" t="str" cm="1">
        <f t="array" ref="A981">IFERROR(INDEX('Row Level Master Sheet'!$K$2:$K$1001,_xlfn.AGGREGATE(15,6,(ROW('Row Level Master Sheet'!$K$2:$K$1001)-ROW('Row Level Master Sheet'!$K$2)+1)/('Row Level Master Sheet'!$C$2:$C$1001="Digital"),ROWS($A$2:A981))),"")</f>
        <v/>
      </c>
      <c r="B981" s="39" t="str" cm="1">
        <f t="array" ref="B981">IFERROR(INDEX('Row Level Master Sheet'!$K$2:$K$1001,_xlfn.AGGREGATE(15,6,(ROW('Row Level Master Sheet'!$K$2:$K$1001)-ROW('Row Level Master Sheet'!$K$2)+1)/('Row Level Master Sheet'!$C$2:$C$1001="Traditional"),ROWS($B$2:B981))),"")</f>
        <v/>
      </c>
    </row>
    <row r="982" spans="1:2" x14ac:dyDescent="0.35">
      <c r="A982" t="str" cm="1">
        <f t="array" ref="A982">IFERROR(INDEX('Row Level Master Sheet'!$K$2:$K$1001,_xlfn.AGGREGATE(15,6,(ROW('Row Level Master Sheet'!$K$2:$K$1001)-ROW('Row Level Master Sheet'!$K$2)+1)/('Row Level Master Sheet'!$C$2:$C$1001="Digital"),ROWS($A$2:A982))),"")</f>
        <v/>
      </c>
      <c r="B982" s="39" t="str" cm="1">
        <f t="array" ref="B982">IFERROR(INDEX('Row Level Master Sheet'!$K$2:$K$1001,_xlfn.AGGREGATE(15,6,(ROW('Row Level Master Sheet'!$K$2:$K$1001)-ROW('Row Level Master Sheet'!$K$2)+1)/('Row Level Master Sheet'!$C$2:$C$1001="Traditional"),ROWS($B$2:B982))),"")</f>
        <v/>
      </c>
    </row>
    <row r="983" spans="1:2" x14ac:dyDescent="0.35">
      <c r="A983" t="str" cm="1">
        <f t="array" ref="A983">IFERROR(INDEX('Row Level Master Sheet'!$K$2:$K$1001,_xlfn.AGGREGATE(15,6,(ROW('Row Level Master Sheet'!$K$2:$K$1001)-ROW('Row Level Master Sheet'!$K$2)+1)/('Row Level Master Sheet'!$C$2:$C$1001="Digital"),ROWS($A$2:A983))),"")</f>
        <v/>
      </c>
      <c r="B983" s="39" t="str" cm="1">
        <f t="array" ref="B983">IFERROR(INDEX('Row Level Master Sheet'!$K$2:$K$1001,_xlfn.AGGREGATE(15,6,(ROW('Row Level Master Sheet'!$K$2:$K$1001)-ROW('Row Level Master Sheet'!$K$2)+1)/('Row Level Master Sheet'!$C$2:$C$1001="Traditional"),ROWS($B$2:B983))),"")</f>
        <v/>
      </c>
    </row>
    <row r="984" spans="1:2" x14ac:dyDescent="0.35">
      <c r="A984" t="str" cm="1">
        <f t="array" ref="A984">IFERROR(INDEX('Row Level Master Sheet'!$K$2:$K$1001,_xlfn.AGGREGATE(15,6,(ROW('Row Level Master Sheet'!$K$2:$K$1001)-ROW('Row Level Master Sheet'!$K$2)+1)/('Row Level Master Sheet'!$C$2:$C$1001="Digital"),ROWS($A$2:A984))),"")</f>
        <v/>
      </c>
      <c r="B984" s="39" t="str" cm="1">
        <f t="array" ref="B984">IFERROR(INDEX('Row Level Master Sheet'!$K$2:$K$1001,_xlfn.AGGREGATE(15,6,(ROW('Row Level Master Sheet'!$K$2:$K$1001)-ROW('Row Level Master Sheet'!$K$2)+1)/('Row Level Master Sheet'!$C$2:$C$1001="Traditional"),ROWS($B$2:B984))),"")</f>
        <v/>
      </c>
    </row>
    <row r="985" spans="1:2" x14ac:dyDescent="0.35">
      <c r="A985" t="str" cm="1">
        <f t="array" ref="A985">IFERROR(INDEX('Row Level Master Sheet'!$K$2:$K$1001,_xlfn.AGGREGATE(15,6,(ROW('Row Level Master Sheet'!$K$2:$K$1001)-ROW('Row Level Master Sheet'!$K$2)+1)/('Row Level Master Sheet'!$C$2:$C$1001="Digital"),ROWS($A$2:A985))),"")</f>
        <v/>
      </c>
      <c r="B985" s="39" t="str" cm="1">
        <f t="array" ref="B985">IFERROR(INDEX('Row Level Master Sheet'!$K$2:$K$1001,_xlfn.AGGREGATE(15,6,(ROW('Row Level Master Sheet'!$K$2:$K$1001)-ROW('Row Level Master Sheet'!$K$2)+1)/('Row Level Master Sheet'!$C$2:$C$1001="Traditional"),ROWS($B$2:B985))),"")</f>
        <v/>
      </c>
    </row>
    <row r="986" spans="1:2" x14ac:dyDescent="0.35">
      <c r="A986" t="str" cm="1">
        <f t="array" ref="A986">IFERROR(INDEX('Row Level Master Sheet'!$K$2:$K$1001,_xlfn.AGGREGATE(15,6,(ROW('Row Level Master Sheet'!$K$2:$K$1001)-ROW('Row Level Master Sheet'!$K$2)+1)/('Row Level Master Sheet'!$C$2:$C$1001="Digital"),ROWS($A$2:A986))),"")</f>
        <v/>
      </c>
      <c r="B986" s="39" t="str" cm="1">
        <f t="array" ref="B986">IFERROR(INDEX('Row Level Master Sheet'!$K$2:$K$1001,_xlfn.AGGREGATE(15,6,(ROW('Row Level Master Sheet'!$K$2:$K$1001)-ROW('Row Level Master Sheet'!$K$2)+1)/('Row Level Master Sheet'!$C$2:$C$1001="Traditional"),ROWS($B$2:B986))),"")</f>
        <v/>
      </c>
    </row>
    <row r="987" spans="1:2" x14ac:dyDescent="0.35">
      <c r="A987" t="str" cm="1">
        <f t="array" ref="A987">IFERROR(INDEX('Row Level Master Sheet'!$K$2:$K$1001,_xlfn.AGGREGATE(15,6,(ROW('Row Level Master Sheet'!$K$2:$K$1001)-ROW('Row Level Master Sheet'!$K$2)+1)/('Row Level Master Sheet'!$C$2:$C$1001="Digital"),ROWS($A$2:A987))),"")</f>
        <v/>
      </c>
      <c r="B987" s="39" t="str" cm="1">
        <f t="array" ref="B987">IFERROR(INDEX('Row Level Master Sheet'!$K$2:$K$1001,_xlfn.AGGREGATE(15,6,(ROW('Row Level Master Sheet'!$K$2:$K$1001)-ROW('Row Level Master Sheet'!$K$2)+1)/('Row Level Master Sheet'!$C$2:$C$1001="Traditional"),ROWS($B$2:B987))),"")</f>
        <v/>
      </c>
    </row>
    <row r="988" spans="1:2" x14ac:dyDescent="0.35">
      <c r="A988" t="str" cm="1">
        <f t="array" ref="A988">IFERROR(INDEX('Row Level Master Sheet'!$K$2:$K$1001,_xlfn.AGGREGATE(15,6,(ROW('Row Level Master Sheet'!$K$2:$K$1001)-ROW('Row Level Master Sheet'!$K$2)+1)/('Row Level Master Sheet'!$C$2:$C$1001="Digital"),ROWS($A$2:A988))),"")</f>
        <v/>
      </c>
      <c r="B988" s="39" t="str" cm="1">
        <f t="array" ref="B988">IFERROR(INDEX('Row Level Master Sheet'!$K$2:$K$1001,_xlfn.AGGREGATE(15,6,(ROW('Row Level Master Sheet'!$K$2:$K$1001)-ROW('Row Level Master Sheet'!$K$2)+1)/('Row Level Master Sheet'!$C$2:$C$1001="Traditional"),ROWS($B$2:B988))),"")</f>
        <v/>
      </c>
    </row>
    <row r="989" spans="1:2" x14ac:dyDescent="0.35">
      <c r="A989" t="str" cm="1">
        <f t="array" ref="A989">IFERROR(INDEX('Row Level Master Sheet'!$K$2:$K$1001,_xlfn.AGGREGATE(15,6,(ROW('Row Level Master Sheet'!$K$2:$K$1001)-ROW('Row Level Master Sheet'!$K$2)+1)/('Row Level Master Sheet'!$C$2:$C$1001="Digital"),ROWS($A$2:A989))),"")</f>
        <v/>
      </c>
      <c r="B989" s="39" t="str" cm="1">
        <f t="array" ref="B989">IFERROR(INDEX('Row Level Master Sheet'!$K$2:$K$1001,_xlfn.AGGREGATE(15,6,(ROW('Row Level Master Sheet'!$K$2:$K$1001)-ROW('Row Level Master Sheet'!$K$2)+1)/('Row Level Master Sheet'!$C$2:$C$1001="Traditional"),ROWS($B$2:B989))),"")</f>
        <v/>
      </c>
    </row>
    <row r="990" spans="1:2" x14ac:dyDescent="0.35">
      <c r="A990" t="str" cm="1">
        <f t="array" ref="A990">IFERROR(INDEX('Row Level Master Sheet'!$K$2:$K$1001,_xlfn.AGGREGATE(15,6,(ROW('Row Level Master Sheet'!$K$2:$K$1001)-ROW('Row Level Master Sheet'!$K$2)+1)/('Row Level Master Sheet'!$C$2:$C$1001="Digital"),ROWS($A$2:A990))),"")</f>
        <v/>
      </c>
      <c r="B990" s="39" t="str" cm="1">
        <f t="array" ref="B990">IFERROR(INDEX('Row Level Master Sheet'!$K$2:$K$1001,_xlfn.AGGREGATE(15,6,(ROW('Row Level Master Sheet'!$K$2:$K$1001)-ROW('Row Level Master Sheet'!$K$2)+1)/('Row Level Master Sheet'!$C$2:$C$1001="Traditional"),ROWS($B$2:B990))),"")</f>
        <v/>
      </c>
    </row>
    <row r="991" spans="1:2" x14ac:dyDescent="0.35">
      <c r="A991" t="str" cm="1">
        <f t="array" ref="A991">IFERROR(INDEX('Row Level Master Sheet'!$K$2:$K$1001,_xlfn.AGGREGATE(15,6,(ROW('Row Level Master Sheet'!$K$2:$K$1001)-ROW('Row Level Master Sheet'!$K$2)+1)/('Row Level Master Sheet'!$C$2:$C$1001="Digital"),ROWS($A$2:A991))),"")</f>
        <v/>
      </c>
      <c r="B991" s="39" t="str" cm="1">
        <f t="array" ref="B991">IFERROR(INDEX('Row Level Master Sheet'!$K$2:$K$1001,_xlfn.AGGREGATE(15,6,(ROW('Row Level Master Sheet'!$K$2:$K$1001)-ROW('Row Level Master Sheet'!$K$2)+1)/('Row Level Master Sheet'!$C$2:$C$1001="Traditional"),ROWS($B$2:B991))),"")</f>
        <v/>
      </c>
    </row>
    <row r="992" spans="1:2" x14ac:dyDescent="0.35">
      <c r="A992" t="str" cm="1">
        <f t="array" ref="A992">IFERROR(INDEX('Row Level Master Sheet'!$K$2:$K$1001,_xlfn.AGGREGATE(15,6,(ROW('Row Level Master Sheet'!$K$2:$K$1001)-ROW('Row Level Master Sheet'!$K$2)+1)/('Row Level Master Sheet'!$C$2:$C$1001="Digital"),ROWS($A$2:A992))),"")</f>
        <v/>
      </c>
      <c r="B992" s="39" t="str" cm="1">
        <f t="array" ref="B992">IFERROR(INDEX('Row Level Master Sheet'!$K$2:$K$1001,_xlfn.AGGREGATE(15,6,(ROW('Row Level Master Sheet'!$K$2:$K$1001)-ROW('Row Level Master Sheet'!$K$2)+1)/('Row Level Master Sheet'!$C$2:$C$1001="Traditional"),ROWS($B$2:B992))),"")</f>
        <v/>
      </c>
    </row>
    <row r="993" spans="1:2" x14ac:dyDescent="0.35">
      <c r="A993" t="str" cm="1">
        <f t="array" ref="A993">IFERROR(INDEX('Row Level Master Sheet'!$K$2:$K$1001,_xlfn.AGGREGATE(15,6,(ROW('Row Level Master Sheet'!$K$2:$K$1001)-ROW('Row Level Master Sheet'!$K$2)+1)/('Row Level Master Sheet'!$C$2:$C$1001="Digital"),ROWS($A$2:A993))),"")</f>
        <v/>
      </c>
      <c r="B993" s="39" t="str" cm="1">
        <f t="array" ref="B993">IFERROR(INDEX('Row Level Master Sheet'!$K$2:$K$1001,_xlfn.AGGREGATE(15,6,(ROW('Row Level Master Sheet'!$K$2:$K$1001)-ROW('Row Level Master Sheet'!$K$2)+1)/('Row Level Master Sheet'!$C$2:$C$1001="Traditional"),ROWS($B$2:B993))),"")</f>
        <v/>
      </c>
    </row>
    <row r="994" spans="1:2" x14ac:dyDescent="0.35">
      <c r="A994" t="str" cm="1">
        <f t="array" ref="A994">IFERROR(INDEX('Row Level Master Sheet'!$K$2:$K$1001,_xlfn.AGGREGATE(15,6,(ROW('Row Level Master Sheet'!$K$2:$K$1001)-ROW('Row Level Master Sheet'!$K$2)+1)/('Row Level Master Sheet'!$C$2:$C$1001="Digital"),ROWS($A$2:A994))),"")</f>
        <v/>
      </c>
      <c r="B994" s="39" t="str" cm="1">
        <f t="array" ref="B994">IFERROR(INDEX('Row Level Master Sheet'!$K$2:$K$1001,_xlfn.AGGREGATE(15,6,(ROW('Row Level Master Sheet'!$K$2:$K$1001)-ROW('Row Level Master Sheet'!$K$2)+1)/('Row Level Master Sheet'!$C$2:$C$1001="Traditional"),ROWS($B$2:B994))),"")</f>
        <v/>
      </c>
    </row>
    <row r="995" spans="1:2" x14ac:dyDescent="0.35">
      <c r="A995" t="str" cm="1">
        <f t="array" ref="A995">IFERROR(INDEX('Row Level Master Sheet'!$K$2:$K$1001,_xlfn.AGGREGATE(15,6,(ROW('Row Level Master Sheet'!$K$2:$K$1001)-ROW('Row Level Master Sheet'!$K$2)+1)/('Row Level Master Sheet'!$C$2:$C$1001="Digital"),ROWS($A$2:A995))),"")</f>
        <v/>
      </c>
      <c r="B995" s="39" t="str" cm="1">
        <f t="array" ref="B995">IFERROR(INDEX('Row Level Master Sheet'!$K$2:$K$1001,_xlfn.AGGREGATE(15,6,(ROW('Row Level Master Sheet'!$K$2:$K$1001)-ROW('Row Level Master Sheet'!$K$2)+1)/('Row Level Master Sheet'!$C$2:$C$1001="Traditional"),ROWS($B$2:B995))),"")</f>
        <v/>
      </c>
    </row>
    <row r="996" spans="1:2" x14ac:dyDescent="0.35">
      <c r="A996" t="str" cm="1">
        <f t="array" ref="A996">IFERROR(INDEX('Row Level Master Sheet'!$K$2:$K$1001,_xlfn.AGGREGATE(15,6,(ROW('Row Level Master Sheet'!$K$2:$K$1001)-ROW('Row Level Master Sheet'!$K$2)+1)/('Row Level Master Sheet'!$C$2:$C$1001="Digital"),ROWS($A$2:A996))),"")</f>
        <v/>
      </c>
      <c r="B996" s="39" t="str" cm="1">
        <f t="array" ref="B996">IFERROR(INDEX('Row Level Master Sheet'!$K$2:$K$1001,_xlfn.AGGREGATE(15,6,(ROW('Row Level Master Sheet'!$K$2:$K$1001)-ROW('Row Level Master Sheet'!$K$2)+1)/('Row Level Master Sheet'!$C$2:$C$1001="Traditional"),ROWS($B$2:B996))),"")</f>
        <v/>
      </c>
    </row>
    <row r="997" spans="1:2" x14ac:dyDescent="0.35">
      <c r="A997" t="str" cm="1">
        <f t="array" ref="A997">IFERROR(INDEX('Row Level Master Sheet'!$K$2:$K$1001,_xlfn.AGGREGATE(15,6,(ROW('Row Level Master Sheet'!$K$2:$K$1001)-ROW('Row Level Master Sheet'!$K$2)+1)/('Row Level Master Sheet'!$C$2:$C$1001="Digital"),ROWS($A$2:A997))),"")</f>
        <v/>
      </c>
      <c r="B997" s="39" t="str" cm="1">
        <f t="array" ref="B997">IFERROR(INDEX('Row Level Master Sheet'!$K$2:$K$1001,_xlfn.AGGREGATE(15,6,(ROW('Row Level Master Sheet'!$K$2:$K$1001)-ROW('Row Level Master Sheet'!$K$2)+1)/('Row Level Master Sheet'!$C$2:$C$1001="Traditional"),ROWS($B$2:B997))),"")</f>
        <v/>
      </c>
    </row>
    <row r="998" spans="1:2" x14ac:dyDescent="0.35">
      <c r="A998" t="str" cm="1">
        <f t="array" ref="A998">IFERROR(INDEX('Row Level Master Sheet'!$K$2:$K$1001,_xlfn.AGGREGATE(15,6,(ROW('Row Level Master Sheet'!$K$2:$K$1001)-ROW('Row Level Master Sheet'!$K$2)+1)/('Row Level Master Sheet'!$C$2:$C$1001="Digital"),ROWS($A$2:A998))),"")</f>
        <v/>
      </c>
      <c r="B998" s="39" t="str" cm="1">
        <f t="array" ref="B998">IFERROR(INDEX('Row Level Master Sheet'!$K$2:$K$1001,_xlfn.AGGREGATE(15,6,(ROW('Row Level Master Sheet'!$K$2:$K$1001)-ROW('Row Level Master Sheet'!$K$2)+1)/('Row Level Master Sheet'!$C$2:$C$1001="Traditional"),ROWS($B$2:B998))),"")</f>
        <v/>
      </c>
    </row>
    <row r="999" spans="1:2" x14ac:dyDescent="0.35">
      <c r="A999" t="str" cm="1">
        <f t="array" ref="A999">IFERROR(INDEX('Row Level Master Sheet'!$K$2:$K$1001,_xlfn.AGGREGATE(15,6,(ROW('Row Level Master Sheet'!$K$2:$K$1001)-ROW('Row Level Master Sheet'!$K$2)+1)/('Row Level Master Sheet'!$C$2:$C$1001="Digital"),ROWS($A$2:A999))),"")</f>
        <v/>
      </c>
      <c r="B999" s="39" t="str" cm="1">
        <f t="array" ref="B999">IFERROR(INDEX('Row Level Master Sheet'!$K$2:$K$1001,_xlfn.AGGREGATE(15,6,(ROW('Row Level Master Sheet'!$K$2:$K$1001)-ROW('Row Level Master Sheet'!$K$2)+1)/('Row Level Master Sheet'!$C$2:$C$1001="Traditional"),ROWS($B$2:B999))),"")</f>
        <v/>
      </c>
    </row>
    <row r="1000" spans="1:2" x14ac:dyDescent="0.35">
      <c r="A1000" t="str" cm="1">
        <f t="array" ref="A1000">IFERROR(INDEX('Row Level Master Sheet'!$K$2:$K$1001,_xlfn.AGGREGATE(15,6,(ROW('Row Level Master Sheet'!$K$2:$K$1001)-ROW('Row Level Master Sheet'!$K$2)+1)/('Row Level Master Sheet'!$C$2:$C$1001="Digital"),ROWS($A$2:A1000))),"")</f>
        <v/>
      </c>
      <c r="B1000" s="39" t="str" cm="1">
        <f t="array" ref="B1000">IFERROR(INDEX('Row Level Master Sheet'!$K$2:$K$1001,_xlfn.AGGREGATE(15,6,(ROW('Row Level Master Sheet'!$K$2:$K$1001)-ROW('Row Level Master Sheet'!$K$2)+1)/('Row Level Master Sheet'!$C$2:$C$1001="Traditional"),ROWS($B$2:B1000))),"")</f>
        <v/>
      </c>
    </row>
    <row r="1001" spans="1:2" x14ac:dyDescent="0.35">
      <c r="A1001" t="str" cm="1">
        <f t="array" ref="A1001">IFERROR(INDEX('Row Level Master Sheet'!$K$2:$K$1001,_xlfn.AGGREGATE(15,6,(ROW('Row Level Master Sheet'!$K$2:$K$1001)-ROW('Row Level Master Sheet'!$K$2)+1)/('Row Level Master Sheet'!$C$2:$C$1001="Digital"),ROWS($A$2:A1001))),"")</f>
        <v/>
      </c>
      <c r="B1001" s="39" t="str" cm="1">
        <f t="array" ref="B1001">IFERROR(INDEX('Row Level Master Sheet'!$K$2:$K$1001,_xlfn.AGGREGATE(15,6,(ROW('Row Level Master Sheet'!$K$2:$K$1001)-ROW('Row Level Master Sheet'!$K$2)+1)/('Row Level Master Sheet'!$C$2:$C$1001="Traditional"),ROWS($B$2:B1001))),"")</f>
        <v/>
      </c>
    </row>
    <row r="1002" spans="1:2" x14ac:dyDescent="0.35">
      <c r="A1002" t="str" cm="1">
        <f t="array" ref="A1002">IFERROR(INDEX('Row Level Master Sheet'!$K$2:$K$1001,_xlfn.AGGREGATE(15,6,(ROW('Row Level Master Sheet'!$K$2:$K$1001)-ROW('Row Level Master Sheet'!$K$2)+1)/('Row Level Master Sheet'!$C$2:$C$1001="Digital"),ROWS($A$2:A1002))),"")</f>
        <v/>
      </c>
      <c r="B1002" s="39" t="str" cm="1">
        <f t="array" ref="B1002">IFERROR(INDEX('Row Level Master Sheet'!$K$2:$K$1001,_xlfn.AGGREGATE(15,6,(ROW('Row Level Master Sheet'!$K$2:$K$1001)-ROW('Row Level Master Sheet'!$K$2)+1)/('Row Level Master Sheet'!$C$2:$C$1001="Traditional"),ROWS($B$2:B1002))),"")</f>
        <v/>
      </c>
    </row>
    <row r="1003" spans="1:2" x14ac:dyDescent="0.35">
      <c r="A1003" t="str" cm="1">
        <f t="array" ref="A1003">IFERROR(INDEX('Row Level Master Sheet'!$K$2:$K$1001,_xlfn.AGGREGATE(15,6,(ROW('Row Level Master Sheet'!$K$2:$K$1001)-ROW('Row Level Master Sheet'!$K$2)+1)/('Row Level Master Sheet'!$C$2:$C$1001="Digital"),ROWS($A$2:A1003))),"")</f>
        <v/>
      </c>
      <c r="B1003" s="39" t="str" cm="1">
        <f t="array" ref="B1003">IFERROR(INDEX('Row Level Master Sheet'!$K$2:$K$1001,_xlfn.AGGREGATE(15,6,(ROW('Row Level Master Sheet'!$K$2:$K$1001)-ROW('Row Level Master Sheet'!$K$2)+1)/('Row Level Master Sheet'!$C$2:$C$1001="Traditional"),ROWS($B$2:B1003))),"")</f>
        <v/>
      </c>
    </row>
    <row r="1004" spans="1:2" x14ac:dyDescent="0.35">
      <c r="A1004" t="str" cm="1">
        <f t="array" ref="A1004">IFERROR(INDEX('Row Level Master Sheet'!$K$2:$K$1001,_xlfn.AGGREGATE(15,6,(ROW('Row Level Master Sheet'!$K$2:$K$1001)-ROW('Row Level Master Sheet'!$K$2)+1)/('Row Level Master Sheet'!$C$2:$C$1001="Digital"),ROWS($A$2:A1004))),"")</f>
        <v/>
      </c>
      <c r="B1004" s="39" t="str" cm="1">
        <f t="array" ref="B1004">IFERROR(INDEX('Row Level Master Sheet'!$K$2:$K$1001,_xlfn.AGGREGATE(15,6,(ROW('Row Level Master Sheet'!$K$2:$K$1001)-ROW('Row Level Master Sheet'!$K$2)+1)/('Row Level Master Sheet'!$C$2:$C$1001="Traditional"),ROWS($B$2:B1004))),"")</f>
        <v/>
      </c>
    </row>
    <row r="1005" spans="1:2" x14ac:dyDescent="0.35">
      <c r="A1005" t="str" cm="1">
        <f t="array" ref="A1005">IFERROR(INDEX('Row Level Master Sheet'!$K$2:$K$1001,_xlfn.AGGREGATE(15,6,(ROW('Row Level Master Sheet'!$K$2:$K$1001)-ROW('Row Level Master Sheet'!$K$2)+1)/('Row Level Master Sheet'!$C$2:$C$1001="Digital"),ROWS($A$2:A1005))),"")</f>
        <v/>
      </c>
      <c r="B1005" s="39" t="str" cm="1">
        <f t="array" ref="B1005">IFERROR(INDEX('Row Level Master Sheet'!$K$2:$K$1001,_xlfn.AGGREGATE(15,6,(ROW('Row Level Master Sheet'!$K$2:$K$1001)-ROW('Row Level Master Sheet'!$K$2)+1)/('Row Level Master Sheet'!$C$2:$C$1001="Traditional"),ROWS($B$2:B1005))),"")</f>
        <v/>
      </c>
    </row>
    <row r="1006" spans="1:2" x14ac:dyDescent="0.35">
      <c r="A1006" t="str" cm="1">
        <f t="array" ref="A1006">IFERROR(INDEX('Row Level Master Sheet'!$K$2:$K$1001,_xlfn.AGGREGATE(15,6,(ROW('Row Level Master Sheet'!$K$2:$K$1001)-ROW('Row Level Master Sheet'!$K$2)+1)/('Row Level Master Sheet'!$C$2:$C$1001="Digital"),ROWS($A$2:A1006))),"")</f>
        <v/>
      </c>
      <c r="B1006" s="39" t="str" cm="1">
        <f t="array" ref="B1006">IFERROR(INDEX('Row Level Master Sheet'!$K$2:$K$1001,_xlfn.AGGREGATE(15,6,(ROW('Row Level Master Sheet'!$K$2:$K$1001)-ROW('Row Level Master Sheet'!$K$2)+1)/('Row Level Master Sheet'!$C$2:$C$1001="Traditional"),ROWS($B$2:B1006))),"")</f>
        <v/>
      </c>
    </row>
    <row r="1007" spans="1:2" x14ac:dyDescent="0.35">
      <c r="A1007" t="str" cm="1">
        <f t="array" ref="A1007">IFERROR(INDEX('Row Level Master Sheet'!$K$2:$K$1001,_xlfn.AGGREGATE(15,6,(ROW('Row Level Master Sheet'!$K$2:$K$1001)-ROW('Row Level Master Sheet'!$K$2)+1)/('Row Level Master Sheet'!$C$2:$C$1001="Digital"),ROWS($A$2:A1007))),"")</f>
        <v/>
      </c>
      <c r="B1007" s="39" t="str" cm="1">
        <f t="array" ref="B1007">IFERROR(INDEX('Row Level Master Sheet'!$K$2:$K$1001,_xlfn.AGGREGATE(15,6,(ROW('Row Level Master Sheet'!$K$2:$K$1001)-ROW('Row Level Master Sheet'!$K$2)+1)/('Row Level Master Sheet'!$C$2:$C$1001="Traditional"),ROWS($B$2:B1007))),"")</f>
        <v/>
      </c>
    </row>
    <row r="1008" spans="1:2" x14ac:dyDescent="0.35">
      <c r="A1008" t="str" cm="1">
        <f t="array" ref="A1008">IFERROR(INDEX('Row Level Master Sheet'!$K$2:$K$1001,_xlfn.AGGREGATE(15,6,(ROW('Row Level Master Sheet'!$K$2:$K$1001)-ROW('Row Level Master Sheet'!$K$2)+1)/('Row Level Master Sheet'!$C$2:$C$1001="Digital"),ROWS($A$2:A1008))),"")</f>
        <v/>
      </c>
      <c r="B1008" s="39" t="str" cm="1">
        <f t="array" ref="B1008">IFERROR(INDEX('Row Level Master Sheet'!$K$2:$K$1001,_xlfn.AGGREGATE(15,6,(ROW('Row Level Master Sheet'!$K$2:$K$1001)-ROW('Row Level Master Sheet'!$K$2)+1)/('Row Level Master Sheet'!$C$2:$C$1001="Traditional"),ROWS($B$2:B1008))),"")</f>
        <v/>
      </c>
    </row>
    <row r="1009" spans="1:2" x14ac:dyDescent="0.35">
      <c r="A1009" t="str" cm="1">
        <f t="array" ref="A1009">IFERROR(INDEX('Row Level Master Sheet'!$K$2:$K$1001,_xlfn.AGGREGATE(15,6,(ROW('Row Level Master Sheet'!$K$2:$K$1001)-ROW('Row Level Master Sheet'!$K$2)+1)/('Row Level Master Sheet'!$C$2:$C$1001="Digital"),ROWS($A$2:A1009))),"")</f>
        <v/>
      </c>
      <c r="B1009" s="39" t="str" cm="1">
        <f t="array" ref="B1009">IFERROR(INDEX('Row Level Master Sheet'!$K$2:$K$1001,_xlfn.AGGREGATE(15,6,(ROW('Row Level Master Sheet'!$K$2:$K$1001)-ROW('Row Level Master Sheet'!$K$2)+1)/('Row Level Master Sheet'!$C$2:$C$1001="Traditional"),ROWS($B$2:B1009))),"")</f>
        <v/>
      </c>
    </row>
    <row r="1010" spans="1:2" x14ac:dyDescent="0.35">
      <c r="A1010" t="str" cm="1">
        <f t="array" ref="A1010">IFERROR(INDEX('Row Level Master Sheet'!$K$2:$K$1001,_xlfn.AGGREGATE(15,6,(ROW('Row Level Master Sheet'!$K$2:$K$1001)-ROW('Row Level Master Sheet'!$K$2)+1)/('Row Level Master Sheet'!$C$2:$C$1001="Digital"),ROWS($A$2:A1010))),"")</f>
        <v/>
      </c>
      <c r="B1010" s="39" t="str" cm="1">
        <f t="array" ref="B1010">IFERROR(INDEX('Row Level Master Sheet'!$K$2:$K$1001,_xlfn.AGGREGATE(15,6,(ROW('Row Level Master Sheet'!$K$2:$K$1001)-ROW('Row Level Master Sheet'!$K$2)+1)/('Row Level Master Sheet'!$C$2:$C$1001="Traditional"),ROWS($B$2:B1010))),"")</f>
        <v/>
      </c>
    </row>
    <row r="1011" spans="1:2" x14ac:dyDescent="0.35">
      <c r="A1011" t="str" cm="1">
        <f t="array" ref="A1011">IFERROR(INDEX('Row Level Master Sheet'!$K$2:$K$1001,_xlfn.AGGREGATE(15,6,(ROW('Row Level Master Sheet'!$K$2:$K$1001)-ROW('Row Level Master Sheet'!$K$2)+1)/('Row Level Master Sheet'!$C$2:$C$1001="Digital"),ROWS($A$2:A1011))),"")</f>
        <v/>
      </c>
      <c r="B1011" s="39" t="str" cm="1">
        <f t="array" ref="B1011">IFERROR(INDEX('Row Level Master Sheet'!$K$2:$K$1001,_xlfn.AGGREGATE(15,6,(ROW('Row Level Master Sheet'!$K$2:$K$1001)-ROW('Row Level Master Sheet'!$K$2)+1)/('Row Level Master Sheet'!$C$2:$C$1001="Traditional"),ROWS($B$2:B1011))),"")</f>
        <v/>
      </c>
    </row>
    <row r="1012" spans="1:2" x14ac:dyDescent="0.35">
      <c r="A1012" t="str" cm="1">
        <f t="array" ref="A1012">IFERROR(INDEX('Row Level Master Sheet'!$K$2:$K$1001,_xlfn.AGGREGATE(15,6,(ROW('Row Level Master Sheet'!$K$2:$K$1001)-ROW('Row Level Master Sheet'!$K$2)+1)/('Row Level Master Sheet'!$C$2:$C$1001="Digital"),ROWS($A$2:A1012))),"")</f>
        <v/>
      </c>
      <c r="B1012" s="39" t="str" cm="1">
        <f t="array" ref="B1012">IFERROR(INDEX('Row Level Master Sheet'!$K$2:$K$1001,_xlfn.AGGREGATE(15,6,(ROW('Row Level Master Sheet'!$K$2:$K$1001)-ROW('Row Level Master Sheet'!$K$2)+1)/('Row Level Master Sheet'!$C$2:$C$1001="Traditional"),ROWS($B$2:B1012))),"")</f>
        <v/>
      </c>
    </row>
    <row r="1013" spans="1:2" x14ac:dyDescent="0.35">
      <c r="A1013" t="str" cm="1">
        <f t="array" ref="A1013">IFERROR(INDEX('Row Level Master Sheet'!$K$2:$K$1001,_xlfn.AGGREGATE(15,6,(ROW('Row Level Master Sheet'!$K$2:$K$1001)-ROW('Row Level Master Sheet'!$K$2)+1)/('Row Level Master Sheet'!$C$2:$C$1001="Digital"),ROWS($A$2:A1013))),"")</f>
        <v/>
      </c>
      <c r="B1013" s="39" t="str" cm="1">
        <f t="array" ref="B1013">IFERROR(INDEX('Row Level Master Sheet'!$K$2:$K$1001,_xlfn.AGGREGATE(15,6,(ROW('Row Level Master Sheet'!$K$2:$K$1001)-ROW('Row Level Master Sheet'!$K$2)+1)/('Row Level Master Sheet'!$C$2:$C$1001="Traditional"),ROWS($B$2:B1013))),"")</f>
        <v/>
      </c>
    </row>
    <row r="1014" spans="1:2" x14ac:dyDescent="0.35">
      <c r="A1014" t="str" cm="1">
        <f t="array" ref="A1014">IFERROR(INDEX('Row Level Master Sheet'!$K$2:$K$1001,_xlfn.AGGREGATE(15,6,(ROW('Row Level Master Sheet'!$K$2:$K$1001)-ROW('Row Level Master Sheet'!$K$2)+1)/('Row Level Master Sheet'!$C$2:$C$1001="Digital"),ROWS($A$2:A1014))),"")</f>
        <v/>
      </c>
      <c r="B1014" s="39" t="str" cm="1">
        <f t="array" ref="B1014">IFERROR(INDEX('Row Level Master Sheet'!$K$2:$K$1001,_xlfn.AGGREGATE(15,6,(ROW('Row Level Master Sheet'!$K$2:$K$1001)-ROW('Row Level Master Sheet'!$K$2)+1)/('Row Level Master Sheet'!$C$2:$C$1001="Traditional"),ROWS($B$2:B1014))),"")</f>
        <v/>
      </c>
    </row>
    <row r="1015" spans="1:2" x14ac:dyDescent="0.35">
      <c r="A1015" t="str" cm="1">
        <f t="array" ref="A1015">IFERROR(INDEX('Row Level Master Sheet'!$K$2:$K$1001,_xlfn.AGGREGATE(15,6,(ROW('Row Level Master Sheet'!$K$2:$K$1001)-ROW('Row Level Master Sheet'!$K$2)+1)/('Row Level Master Sheet'!$C$2:$C$1001="Digital"),ROWS($A$2:A1015))),"")</f>
        <v/>
      </c>
      <c r="B1015" s="39" t="str" cm="1">
        <f t="array" ref="B1015">IFERROR(INDEX('Row Level Master Sheet'!$K$2:$K$1001,_xlfn.AGGREGATE(15,6,(ROW('Row Level Master Sheet'!$K$2:$K$1001)-ROW('Row Level Master Sheet'!$K$2)+1)/('Row Level Master Sheet'!$C$2:$C$1001="Traditional"),ROWS($B$2:B1015))),"")</f>
        <v/>
      </c>
    </row>
    <row r="1016" spans="1:2" x14ac:dyDescent="0.35">
      <c r="A1016" t="str" cm="1">
        <f t="array" ref="A1016">IFERROR(INDEX('Row Level Master Sheet'!$K$2:$K$1001,_xlfn.AGGREGATE(15,6,(ROW('Row Level Master Sheet'!$K$2:$K$1001)-ROW('Row Level Master Sheet'!$K$2)+1)/('Row Level Master Sheet'!$C$2:$C$1001="Digital"),ROWS($A$2:A1016))),"")</f>
        <v/>
      </c>
      <c r="B1016" s="39" t="str" cm="1">
        <f t="array" ref="B1016">IFERROR(INDEX('Row Level Master Sheet'!$K$2:$K$1001,_xlfn.AGGREGATE(15,6,(ROW('Row Level Master Sheet'!$K$2:$K$1001)-ROW('Row Level Master Sheet'!$K$2)+1)/('Row Level Master Sheet'!$C$2:$C$1001="Traditional"),ROWS($B$2:B1016))),"")</f>
        <v/>
      </c>
    </row>
    <row r="1017" spans="1:2" x14ac:dyDescent="0.35">
      <c r="A1017" t="str" cm="1">
        <f t="array" ref="A1017">IFERROR(INDEX('Row Level Master Sheet'!$K$2:$K$1001,_xlfn.AGGREGATE(15,6,(ROW('Row Level Master Sheet'!$K$2:$K$1001)-ROW('Row Level Master Sheet'!$K$2)+1)/('Row Level Master Sheet'!$C$2:$C$1001="Digital"),ROWS($A$2:A1017))),"")</f>
        <v/>
      </c>
      <c r="B1017" s="39" t="str" cm="1">
        <f t="array" ref="B1017">IFERROR(INDEX('Row Level Master Sheet'!$K$2:$K$1001,_xlfn.AGGREGATE(15,6,(ROW('Row Level Master Sheet'!$K$2:$K$1001)-ROW('Row Level Master Sheet'!$K$2)+1)/('Row Level Master Sheet'!$C$2:$C$1001="Traditional"),ROWS($B$2:B1017))),"")</f>
        <v/>
      </c>
    </row>
    <row r="1018" spans="1:2" x14ac:dyDescent="0.35">
      <c r="A1018" t="str" cm="1">
        <f t="array" ref="A1018">IFERROR(INDEX('Row Level Master Sheet'!$K$2:$K$1001,_xlfn.AGGREGATE(15,6,(ROW('Row Level Master Sheet'!$K$2:$K$1001)-ROW('Row Level Master Sheet'!$K$2)+1)/('Row Level Master Sheet'!$C$2:$C$1001="Digital"),ROWS($A$2:A1018))),"")</f>
        <v/>
      </c>
      <c r="B1018" s="39" t="str" cm="1">
        <f t="array" ref="B1018">IFERROR(INDEX('Row Level Master Sheet'!$K$2:$K$1001,_xlfn.AGGREGATE(15,6,(ROW('Row Level Master Sheet'!$K$2:$K$1001)-ROW('Row Level Master Sheet'!$K$2)+1)/('Row Level Master Sheet'!$C$2:$C$1001="Traditional"),ROWS($B$2:B1018))),"")</f>
        <v/>
      </c>
    </row>
    <row r="1019" spans="1:2" x14ac:dyDescent="0.35">
      <c r="A1019" t="str" cm="1">
        <f t="array" ref="A1019">IFERROR(INDEX('Row Level Master Sheet'!$K$2:$K$1001,_xlfn.AGGREGATE(15,6,(ROW('Row Level Master Sheet'!$K$2:$K$1001)-ROW('Row Level Master Sheet'!$K$2)+1)/('Row Level Master Sheet'!$C$2:$C$1001="Digital"),ROWS($A$2:A1019))),"")</f>
        <v/>
      </c>
      <c r="B1019" s="39" t="str" cm="1">
        <f t="array" ref="B1019">IFERROR(INDEX('Row Level Master Sheet'!$K$2:$K$1001,_xlfn.AGGREGATE(15,6,(ROW('Row Level Master Sheet'!$K$2:$K$1001)-ROW('Row Level Master Sheet'!$K$2)+1)/('Row Level Master Sheet'!$C$2:$C$1001="Traditional"),ROWS($B$2:B1019))),"")</f>
        <v/>
      </c>
    </row>
    <row r="1020" spans="1:2" x14ac:dyDescent="0.35">
      <c r="A1020" t="str" cm="1">
        <f t="array" ref="A1020">IFERROR(INDEX('Row Level Master Sheet'!$K$2:$K$1001,_xlfn.AGGREGATE(15,6,(ROW('Row Level Master Sheet'!$K$2:$K$1001)-ROW('Row Level Master Sheet'!$K$2)+1)/('Row Level Master Sheet'!$C$2:$C$1001="Digital"),ROWS($A$2:A1020))),"")</f>
        <v/>
      </c>
      <c r="B1020" s="39" t="str" cm="1">
        <f t="array" ref="B1020">IFERROR(INDEX('Row Level Master Sheet'!$K$2:$K$1001,_xlfn.AGGREGATE(15,6,(ROW('Row Level Master Sheet'!$K$2:$K$1001)-ROW('Row Level Master Sheet'!$K$2)+1)/('Row Level Master Sheet'!$C$2:$C$1001="Traditional"),ROWS($B$2:B1020))),"")</f>
        <v/>
      </c>
    </row>
    <row r="1021" spans="1:2" x14ac:dyDescent="0.35">
      <c r="A1021" t="str" cm="1">
        <f t="array" ref="A1021">IFERROR(INDEX('Row Level Master Sheet'!$K$2:$K$1001,_xlfn.AGGREGATE(15,6,(ROW('Row Level Master Sheet'!$K$2:$K$1001)-ROW('Row Level Master Sheet'!$K$2)+1)/('Row Level Master Sheet'!$C$2:$C$1001="Digital"),ROWS($A$2:A1021))),"")</f>
        <v/>
      </c>
      <c r="B1021" s="39" t="str" cm="1">
        <f t="array" ref="B1021">IFERROR(INDEX('Row Level Master Sheet'!$K$2:$K$1001,_xlfn.AGGREGATE(15,6,(ROW('Row Level Master Sheet'!$K$2:$K$1001)-ROW('Row Level Master Sheet'!$K$2)+1)/('Row Level Master Sheet'!$C$2:$C$1001="Traditional"),ROWS($B$2:B1021))),"")</f>
        <v/>
      </c>
    </row>
    <row r="1022" spans="1:2" x14ac:dyDescent="0.35">
      <c r="A1022" t="str" cm="1">
        <f t="array" ref="A1022">IFERROR(INDEX('Row Level Master Sheet'!$K$2:$K$1001,_xlfn.AGGREGATE(15,6,(ROW('Row Level Master Sheet'!$K$2:$K$1001)-ROW('Row Level Master Sheet'!$K$2)+1)/('Row Level Master Sheet'!$C$2:$C$1001="Digital"),ROWS($A$2:A1022))),"")</f>
        <v/>
      </c>
      <c r="B1022" s="39" t="str" cm="1">
        <f t="array" ref="B1022">IFERROR(INDEX('Row Level Master Sheet'!$K$2:$K$1001,_xlfn.AGGREGATE(15,6,(ROW('Row Level Master Sheet'!$K$2:$K$1001)-ROW('Row Level Master Sheet'!$K$2)+1)/('Row Level Master Sheet'!$C$2:$C$1001="Traditional"),ROWS($B$2:B1022))),"")</f>
        <v/>
      </c>
    </row>
    <row r="1023" spans="1:2" x14ac:dyDescent="0.35">
      <c r="A1023" t="str" cm="1">
        <f t="array" ref="A1023">IFERROR(INDEX('Row Level Master Sheet'!$K$2:$K$1001,_xlfn.AGGREGATE(15,6,(ROW('Row Level Master Sheet'!$K$2:$K$1001)-ROW('Row Level Master Sheet'!$K$2)+1)/('Row Level Master Sheet'!$C$2:$C$1001="Digital"),ROWS($A$2:A1023))),"")</f>
        <v/>
      </c>
      <c r="B1023" s="39" t="str" cm="1">
        <f t="array" ref="B1023">IFERROR(INDEX('Row Level Master Sheet'!$K$2:$K$1001,_xlfn.AGGREGATE(15,6,(ROW('Row Level Master Sheet'!$K$2:$K$1001)-ROW('Row Level Master Sheet'!$K$2)+1)/('Row Level Master Sheet'!$C$2:$C$1001="Traditional"),ROWS($B$2:B1023))),"")</f>
        <v/>
      </c>
    </row>
    <row r="1024" spans="1:2" x14ac:dyDescent="0.35">
      <c r="A1024" t="str" cm="1">
        <f t="array" ref="A1024">IFERROR(INDEX('Row Level Master Sheet'!$K$2:$K$1001,_xlfn.AGGREGATE(15,6,(ROW('Row Level Master Sheet'!$K$2:$K$1001)-ROW('Row Level Master Sheet'!$K$2)+1)/('Row Level Master Sheet'!$C$2:$C$1001="Digital"),ROWS($A$2:A1024))),"")</f>
        <v/>
      </c>
      <c r="B1024" s="39" t="str" cm="1">
        <f t="array" ref="B1024">IFERROR(INDEX('Row Level Master Sheet'!$K$2:$K$1001,_xlfn.AGGREGATE(15,6,(ROW('Row Level Master Sheet'!$K$2:$K$1001)-ROW('Row Level Master Sheet'!$K$2)+1)/('Row Level Master Sheet'!$C$2:$C$1001="Traditional"),ROWS($B$2:B1024))),"")</f>
        <v/>
      </c>
    </row>
    <row r="1025" spans="1:2" x14ac:dyDescent="0.35">
      <c r="A1025" t="str" cm="1">
        <f t="array" ref="A1025">IFERROR(INDEX('Row Level Master Sheet'!$K$2:$K$1001,_xlfn.AGGREGATE(15,6,(ROW('Row Level Master Sheet'!$K$2:$K$1001)-ROW('Row Level Master Sheet'!$K$2)+1)/('Row Level Master Sheet'!$C$2:$C$1001="Digital"),ROWS($A$2:A1025))),"")</f>
        <v/>
      </c>
      <c r="B1025" s="39" t="str" cm="1">
        <f t="array" ref="B1025">IFERROR(INDEX('Row Level Master Sheet'!$K$2:$K$1001,_xlfn.AGGREGATE(15,6,(ROW('Row Level Master Sheet'!$K$2:$K$1001)-ROW('Row Level Master Sheet'!$K$2)+1)/('Row Level Master Sheet'!$C$2:$C$1001="Traditional"),ROWS($B$2:B1025))),"")</f>
        <v/>
      </c>
    </row>
    <row r="1026" spans="1:2" x14ac:dyDescent="0.35">
      <c r="A1026" t="str" cm="1">
        <f t="array" ref="A1026">IFERROR(INDEX('Row Level Master Sheet'!$K$2:$K$1001,_xlfn.AGGREGATE(15,6,(ROW('Row Level Master Sheet'!$K$2:$K$1001)-ROW('Row Level Master Sheet'!$K$2)+1)/('Row Level Master Sheet'!$C$2:$C$1001="Digital"),ROWS($A$2:A1026))),"")</f>
        <v/>
      </c>
      <c r="B1026" s="39" t="str" cm="1">
        <f t="array" ref="B1026">IFERROR(INDEX('Row Level Master Sheet'!$K$2:$K$1001,_xlfn.AGGREGATE(15,6,(ROW('Row Level Master Sheet'!$K$2:$K$1001)-ROW('Row Level Master Sheet'!$K$2)+1)/('Row Level Master Sheet'!$C$2:$C$1001="Traditional"),ROWS($B$2:B1026))),"")</f>
        <v/>
      </c>
    </row>
    <row r="1027" spans="1:2" x14ac:dyDescent="0.35">
      <c r="A1027" t="str" cm="1">
        <f t="array" ref="A1027">IFERROR(INDEX('Row Level Master Sheet'!$K$2:$K$1001,_xlfn.AGGREGATE(15,6,(ROW('Row Level Master Sheet'!$K$2:$K$1001)-ROW('Row Level Master Sheet'!$K$2)+1)/('Row Level Master Sheet'!$C$2:$C$1001="Digital"),ROWS($A$2:A1027))),"")</f>
        <v/>
      </c>
      <c r="B1027" s="39" t="str" cm="1">
        <f t="array" ref="B1027">IFERROR(INDEX('Row Level Master Sheet'!$K$2:$K$1001,_xlfn.AGGREGATE(15,6,(ROW('Row Level Master Sheet'!$K$2:$K$1001)-ROW('Row Level Master Sheet'!$K$2)+1)/('Row Level Master Sheet'!$C$2:$C$1001="Traditional"),ROWS($B$2:B1027))),"")</f>
        <v/>
      </c>
    </row>
    <row r="1028" spans="1:2" x14ac:dyDescent="0.35">
      <c r="A1028" t="str" cm="1">
        <f t="array" ref="A1028">IFERROR(INDEX('Row Level Master Sheet'!$K$2:$K$1001,_xlfn.AGGREGATE(15,6,(ROW('Row Level Master Sheet'!$K$2:$K$1001)-ROW('Row Level Master Sheet'!$K$2)+1)/('Row Level Master Sheet'!$C$2:$C$1001="Digital"),ROWS($A$2:A1028))),"")</f>
        <v/>
      </c>
      <c r="B1028" s="39" t="str" cm="1">
        <f t="array" ref="B1028">IFERROR(INDEX('Row Level Master Sheet'!$K$2:$K$1001,_xlfn.AGGREGATE(15,6,(ROW('Row Level Master Sheet'!$K$2:$K$1001)-ROW('Row Level Master Sheet'!$K$2)+1)/('Row Level Master Sheet'!$C$2:$C$1001="Traditional"),ROWS($B$2:B1028))),"")</f>
        <v/>
      </c>
    </row>
    <row r="1029" spans="1:2" x14ac:dyDescent="0.35">
      <c r="A1029" t="str" cm="1">
        <f t="array" ref="A1029">IFERROR(INDEX('Row Level Master Sheet'!$K$2:$K$1001,_xlfn.AGGREGATE(15,6,(ROW('Row Level Master Sheet'!$K$2:$K$1001)-ROW('Row Level Master Sheet'!$K$2)+1)/('Row Level Master Sheet'!$C$2:$C$1001="Digital"),ROWS($A$2:A1029))),"")</f>
        <v/>
      </c>
      <c r="B1029" s="39" t="str" cm="1">
        <f t="array" ref="B1029">IFERROR(INDEX('Row Level Master Sheet'!$K$2:$K$1001,_xlfn.AGGREGATE(15,6,(ROW('Row Level Master Sheet'!$K$2:$K$1001)-ROW('Row Level Master Sheet'!$K$2)+1)/('Row Level Master Sheet'!$C$2:$C$1001="Traditional"),ROWS($B$2:B1029))),"")</f>
        <v/>
      </c>
    </row>
    <row r="1030" spans="1:2" x14ac:dyDescent="0.35">
      <c r="A1030" t="str" cm="1">
        <f t="array" ref="A1030">IFERROR(INDEX('Row Level Master Sheet'!$K$2:$K$1001,_xlfn.AGGREGATE(15,6,(ROW('Row Level Master Sheet'!$K$2:$K$1001)-ROW('Row Level Master Sheet'!$K$2)+1)/('Row Level Master Sheet'!$C$2:$C$1001="Digital"),ROWS($A$2:A1030))),"")</f>
        <v/>
      </c>
      <c r="B1030" s="39" t="str" cm="1">
        <f t="array" ref="B1030">IFERROR(INDEX('Row Level Master Sheet'!$K$2:$K$1001,_xlfn.AGGREGATE(15,6,(ROW('Row Level Master Sheet'!$K$2:$K$1001)-ROW('Row Level Master Sheet'!$K$2)+1)/('Row Level Master Sheet'!$C$2:$C$1001="Traditional"),ROWS($B$2:B1030))),"")</f>
        <v/>
      </c>
    </row>
    <row r="1031" spans="1:2" x14ac:dyDescent="0.35">
      <c r="A1031" t="str" cm="1">
        <f t="array" ref="A1031">IFERROR(INDEX('Row Level Master Sheet'!$K$2:$K$1001,_xlfn.AGGREGATE(15,6,(ROW('Row Level Master Sheet'!$K$2:$K$1001)-ROW('Row Level Master Sheet'!$K$2)+1)/('Row Level Master Sheet'!$C$2:$C$1001="Digital"),ROWS($A$2:A1031))),"")</f>
        <v/>
      </c>
      <c r="B1031" s="39" t="str" cm="1">
        <f t="array" ref="B1031">IFERROR(INDEX('Row Level Master Sheet'!$K$2:$K$1001,_xlfn.AGGREGATE(15,6,(ROW('Row Level Master Sheet'!$K$2:$K$1001)-ROW('Row Level Master Sheet'!$K$2)+1)/('Row Level Master Sheet'!$C$2:$C$1001="Traditional"),ROWS($B$2:B1031))),"")</f>
        <v/>
      </c>
    </row>
    <row r="1032" spans="1:2" x14ac:dyDescent="0.35">
      <c r="A1032" t="str" cm="1">
        <f t="array" ref="A1032">IFERROR(INDEX('Row Level Master Sheet'!$K$2:$K$1001,_xlfn.AGGREGATE(15,6,(ROW('Row Level Master Sheet'!$K$2:$K$1001)-ROW('Row Level Master Sheet'!$K$2)+1)/('Row Level Master Sheet'!$C$2:$C$1001="Digital"),ROWS($A$2:A1032))),"")</f>
        <v/>
      </c>
      <c r="B1032" s="39" t="str" cm="1">
        <f t="array" ref="B1032">IFERROR(INDEX('Row Level Master Sheet'!$K$2:$K$1001,_xlfn.AGGREGATE(15,6,(ROW('Row Level Master Sheet'!$K$2:$K$1001)-ROW('Row Level Master Sheet'!$K$2)+1)/('Row Level Master Sheet'!$C$2:$C$1001="Traditional"),ROWS($B$2:B1032))),"")</f>
        <v/>
      </c>
    </row>
    <row r="1033" spans="1:2" x14ac:dyDescent="0.35">
      <c r="A1033" t="str" cm="1">
        <f t="array" ref="A1033">IFERROR(INDEX('Row Level Master Sheet'!$K$2:$K$1001,_xlfn.AGGREGATE(15,6,(ROW('Row Level Master Sheet'!$K$2:$K$1001)-ROW('Row Level Master Sheet'!$K$2)+1)/('Row Level Master Sheet'!$C$2:$C$1001="Digital"),ROWS($A$2:A1033))),"")</f>
        <v/>
      </c>
      <c r="B1033" s="39" t="str" cm="1">
        <f t="array" ref="B1033">IFERROR(INDEX('Row Level Master Sheet'!$K$2:$K$1001,_xlfn.AGGREGATE(15,6,(ROW('Row Level Master Sheet'!$K$2:$K$1001)-ROW('Row Level Master Sheet'!$K$2)+1)/('Row Level Master Sheet'!$C$2:$C$1001="Traditional"),ROWS($B$2:B1033))),"")</f>
        <v/>
      </c>
    </row>
  </sheetData>
  <sortState xmlns:xlrd2="http://schemas.microsoft.com/office/spreadsheetml/2017/richdata2" ref="B2:B659">
    <sortCondition ref="B2:B65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8606-FD45-4BE1-803E-E57C7756603A}">
  <dimension ref="A1:L11"/>
  <sheetViews>
    <sheetView zoomScale="103" workbookViewId="0">
      <selection activeCell="F9" sqref="F9"/>
    </sheetView>
  </sheetViews>
  <sheetFormatPr defaultRowHeight="14.5" x14ac:dyDescent="0.35"/>
  <cols>
    <col min="1" max="1" width="18.36328125" bestFit="1" customWidth="1"/>
    <col min="2" max="2" width="14.08984375" bestFit="1" customWidth="1"/>
    <col min="3" max="3" width="15" bestFit="1" customWidth="1"/>
    <col min="4" max="4" width="18.1796875" bestFit="1" customWidth="1"/>
    <col min="5" max="5" width="12.453125" bestFit="1" customWidth="1"/>
    <col min="6" max="6" width="18.08984375" bestFit="1" customWidth="1"/>
    <col min="7" max="7" width="7" bestFit="1" customWidth="1"/>
    <col min="8" max="8" width="12.1796875" customWidth="1"/>
    <col min="9" max="9" width="7" customWidth="1"/>
    <col min="10" max="10" width="16.7265625" bestFit="1" customWidth="1"/>
    <col min="11" max="12" width="10.26953125" customWidth="1"/>
  </cols>
  <sheetData>
    <row r="1" spans="1:12" x14ac:dyDescent="0.35">
      <c r="A1" s="5" t="s">
        <v>0</v>
      </c>
      <c r="B1" s="14" t="s">
        <v>1</v>
      </c>
      <c r="C1" s="14" t="s">
        <v>2</v>
      </c>
      <c r="D1" s="6" t="s">
        <v>3</v>
      </c>
      <c r="E1" s="6" t="s">
        <v>4</v>
      </c>
      <c r="F1" s="6" t="s">
        <v>5</v>
      </c>
      <c r="G1" s="18" t="s">
        <v>6</v>
      </c>
      <c r="H1" s="18" t="s">
        <v>67</v>
      </c>
      <c r="I1" s="18" t="s">
        <v>68</v>
      </c>
      <c r="J1" s="6" t="s">
        <v>7</v>
      </c>
      <c r="K1" s="40" t="s">
        <v>69</v>
      </c>
      <c r="L1" s="40" t="s">
        <v>70</v>
      </c>
    </row>
    <row r="2" spans="1:12" x14ac:dyDescent="0.35">
      <c r="A2" s="10" t="s">
        <v>9</v>
      </c>
      <c r="B2" s="15">
        <f>SUMIFS('Row Level Master Sheet'!F:F,'Row Level Master Sheet'!B:B,A2)</f>
        <v>2972110.8900000015</v>
      </c>
      <c r="C2" s="15">
        <f>SUMIFS('Row Level Master Sheet'!J:J,'Row Level Master Sheet'!B:B,A2)</f>
        <v>5076910.9852000009</v>
      </c>
      <c r="D2" s="9">
        <f>SUMIFS('Row Level Master Sheet'!G:G,'Row Level Master Sheet'!B:B,A2)</f>
        <v>57924476</v>
      </c>
      <c r="E2" s="9">
        <f>SUMIFS('Row Level Master Sheet'!H:H,'Row Level Master Sheet'!B:B,A2)</f>
        <v>1171326</v>
      </c>
      <c r="F2" s="9">
        <f>SUMIFS('Row Level Master Sheet'!I:I,'Row Level Master Sheet'!B:B,A2)</f>
        <v>120974</v>
      </c>
      <c r="G2" s="20">
        <f t="shared" ref="G2:G9" si="0">(C2-B2)/B2</f>
        <v>0.70818356821134565</v>
      </c>
      <c r="H2" s="20">
        <f>C2/B2</f>
        <v>1.7081835682113458</v>
      </c>
      <c r="I2" s="20">
        <f>E2/D2</f>
        <v>2.0221607183809484E-2</v>
      </c>
      <c r="J2" s="20">
        <f>F2/E2</f>
        <v>0.1032795310613783</v>
      </c>
      <c r="K2" s="21">
        <f t="shared" ref="K2:K9" si="1">B2/E2</f>
        <v>2.5373900092715447</v>
      </c>
      <c r="L2" s="21">
        <f t="shared" ref="L2:L9" si="2">B2/F2</f>
        <v>24.568179030204849</v>
      </c>
    </row>
    <row r="3" spans="1:12" x14ac:dyDescent="0.35">
      <c r="A3" s="10" t="s">
        <v>11</v>
      </c>
      <c r="B3" s="15">
        <f>SUMIFS('Row Level Master Sheet'!F:F,'Row Level Master Sheet'!B:B,A3)</f>
        <v>3538080.01</v>
      </c>
      <c r="C3" s="15">
        <f>SUMIFS('Row Level Master Sheet'!J:J,'Row Level Master Sheet'!B:B,A3)</f>
        <v>5919219.2051999988</v>
      </c>
      <c r="D3" s="9">
        <f>SUMIFS('Row Level Master Sheet'!G:G,'Row Level Master Sheet'!B:B,A3)</f>
        <v>63108811</v>
      </c>
      <c r="E3" s="9">
        <f>SUMIFS('Row Level Master Sheet'!H:H,'Row Level Master Sheet'!B:B,A3)</f>
        <v>1350297</v>
      </c>
      <c r="F3" s="9">
        <f>SUMIFS('Row Level Master Sheet'!I:I,'Row Level Master Sheet'!B:B,A3)</f>
        <v>146424</v>
      </c>
      <c r="G3" s="20">
        <f t="shared" si="0"/>
        <v>0.67300320752214959</v>
      </c>
      <c r="H3" s="20">
        <f t="shared" ref="H3:H9" si="3">C3/B3</f>
        <v>1.6730032075221497</v>
      </c>
      <c r="I3" s="20">
        <f t="shared" ref="I3:I9" si="4">E3/D3</f>
        <v>2.1396330854656729E-2</v>
      </c>
      <c r="J3" s="20">
        <f t="shared" ref="J3:J9" si="5">F3/E3</f>
        <v>0.10843836578175024</v>
      </c>
      <c r="K3" s="21">
        <f t="shared" si="1"/>
        <v>2.6202235582245978</v>
      </c>
      <c r="L3" s="21">
        <f t="shared" si="2"/>
        <v>24.163251994208597</v>
      </c>
    </row>
    <row r="4" spans="1:12" x14ac:dyDescent="0.35">
      <c r="A4" s="8" t="s">
        <v>12</v>
      </c>
      <c r="B4" s="15">
        <f>SUMIFS('Row Level Master Sheet'!F:F,'Row Level Master Sheet'!B:B,A4)</f>
        <v>3855453.3700000015</v>
      </c>
      <c r="C4" s="15">
        <f>SUMIFS('Row Level Master Sheet'!J:J,'Row Level Master Sheet'!B:B,A4)</f>
        <v>6291030.8761000009</v>
      </c>
      <c r="D4" s="9">
        <f>SUMIFS('Row Level Master Sheet'!G:G,'Row Level Master Sheet'!B:B,A4)</f>
        <v>74564234</v>
      </c>
      <c r="E4" s="9">
        <f>SUMIFS('Row Level Master Sheet'!H:H,'Row Level Master Sheet'!B:B,A4)</f>
        <v>1605817</v>
      </c>
      <c r="F4" s="9">
        <f>SUMIFS('Row Level Master Sheet'!I:I,'Row Level Master Sheet'!B:B,A4)</f>
        <v>149125</v>
      </c>
      <c r="G4" s="20">
        <f t="shared" si="0"/>
        <v>0.63172272424604592</v>
      </c>
      <c r="H4" s="20">
        <f t="shared" si="3"/>
        <v>1.6317227242460459</v>
      </c>
      <c r="I4" s="20">
        <f t="shared" si="4"/>
        <v>2.153602221676414E-2</v>
      </c>
      <c r="J4" s="20">
        <f t="shared" si="5"/>
        <v>9.286550086342342E-2</v>
      </c>
      <c r="K4" s="21">
        <f t="shared" si="1"/>
        <v>2.4009294770201097</v>
      </c>
      <c r="L4" s="21">
        <f t="shared" si="2"/>
        <v>25.853836512992466</v>
      </c>
    </row>
    <row r="5" spans="1:12" x14ac:dyDescent="0.35">
      <c r="A5" s="8" t="s">
        <v>8</v>
      </c>
      <c r="B5" s="15">
        <f>SUMIFS('Row Level Master Sheet'!F:F,'Row Level Master Sheet'!B:B,A5)</f>
        <v>3072353.879999999</v>
      </c>
      <c r="C5" s="15">
        <f>SUMIFS('Row Level Master Sheet'!J:J,'Row Level Master Sheet'!B:B,A5)</f>
        <v>5342216.8277999992</v>
      </c>
      <c r="D5" s="9">
        <f>SUMIFS('Row Level Master Sheet'!G:G,'Row Level Master Sheet'!B:B,A5)</f>
        <v>58288464</v>
      </c>
      <c r="E5" s="9">
        <f>SUMIFS('Row Level Master Sheet'!H:H,'Row Level Master Sheet'!B:B,A5)</f>
        <v>1099911</v>
      </c>
      <c r="F5" s="9">
        <f>SUMIFS('Row Level Master Sheet'!I:I,'Row Level Master Sheet'!B:B,A5)</f>
        <v>126583</v>
      </c>
      <c r="G5" s="20">
        <f t="shared" si="0"/>
        <v>0.73880257172718689</v>
      </c>
      <c r="H5" s="20">
        <f t="shared" si="3"/>
        <v>1.7388025717271869</v>
      </c>
      <c r="I5" s="20">
        <f t="shared" si="4"/>
        <v>1.8870131832604133E-2</v>
      </c>
      <c r="J5" s="20">
        <f t="shared" si="5"/>
        <v>0.11508476594924498</v>
      </c>
      <c r="K5" s="21">
        <f t="shared" si="1"/>
        <v>2.7932749831577275</v>
      </c>
      <c r="L5" s="21">
        <f t="shared" si="2"/>
        <v>24.271457304693357</v>
      </c>
    </row>
    <row r="6" spans="1:12" x14ac:dyDescent="0.35">
      <c r="A6" s="10" t="s">
        <v>15</v>
      </c>
      <c r="B6" s="15">
        <f>SUMIFS('Row Level Master Sheet'!F:F,'Row Level Master Sheet'!B:B,A6)</f>
        <v>3110907.6299999994</v>
      </c>
      <c r="C6" s="15">
        <f>SUMIFS('Row Level Master Sheet'!J:J,'Row Level Master Sheet'!B:B,A6)</f>
        <v>4954929.0208999962</v>
      </c>
      <c r="D6" s="9">
        <f>SUMIFS('Row Level Master Sheet'!G:G,'Row Level Master Sheet'!B:B,A6)</f>
        <v>61983418</v>
      </c>
      <c r="E6" s="9">
        <f>SUMIFS('Row Level Master Sheet'!H:H,'Row Level Master Sheet'!B:B,A6)</f>
        <v>1279430</v>
      </c>
      <c r="F6" s="9">
        <f>SUMIFS('Row Level Master Sheet'!I:I,'Row Level Master Sheet'!B:B,A6)</f>
        <v>131693</v>
      </c>
      <c r="G6" s="20">
        <f t="shared" si="0"/>
        <v>0.59275993061227505</v>
      </c>
      <c r="H6" s="20">
        <f t="shared" si="3"/>
        <v>1.5927599306122751</v>
      </c>
      <c r="I6" s="20">
        <f t="shared" si="4"/>
        <v>2.0641488341285083E-2</v>
      </c>
      <c r="J6" s="20">
        <f t="shared" si="5"/>
        <v>0.10293099270769014</v>
      </c>
      <c r="K6" s="21">
        <f t="shared" si="1"/>
        <v>2.4314793540873665</v>
      </c>
      <c r="L6" s="21">
        <f t="shared" si="2"/>
        <v>23.622422072547511</v>
      </c>
    </row>
    <row r="7" spans="1:12" x14ac:dyDescent="0.35">
      <c r="A7" s="8" t="s">
        <v>14</v>
      </c>
      <c r="B7" s="15">
        <f>SUMIFS('Row Level Master Sheet'!F:F,'Row Level Master Sheet'!B:B,A7)</f>
        <v>2997302.29</v>
      </c>
      <c r="C7" s="15">
        <f>SUMIFS('Row Level Master Sheet'!J:J,'Row Level Master Sheet'!B:B,A7)</f>
        <v>4757976.2295999993</v>
      </c>
      <c r="D7" s="9">
        <f>SUMIFS('Row Level Master Sheet'!G:G,'Row Level Master Sheet'!B:B,A7)</f>
        <v>59000835</v>
      </c>
      <c r="E7" s="9">
        <f>SUMIFS('Row Level Master Sheet'!H:H,'Row Level Master Sheet'!B:B,A7)</f>
        <v>1152933</v>
      </c>
      <c r="F7" s="9">
        <f>SUMIFS('Row Level Master Sheet'!I:I,'Row Level Master Sheet'!B:B,A7)</f>
        <v>115739</v>
      </c>
      <c r="G7" s="20">
        <f t="shared" si="0"/>
        <v>0.58741954239123451</v>
      </c>
      <c r="H7" s="20">
        <f t="shared" si="3"/>
        <v>1.5874195423912345</v>
      </c>
      <c r="I7" s="20">
        <f t="shared" si="4"/>
        <v>1.9540960733860802E-2</v>
      </c>
      <c r="J7" s="20">
        <f t="shared" si="5"/>
        <v>0.10038657927216933</v>
      </c>
      <c r="K7" s="21">
        <f t="shared" si="1"/>
        <v>2.5997194026018859</v>
      </c>
      <c r="L7" s="21">
        <f t="shared" si="2"/>
        <v>25.897081277702416</v>
      </c>
    </row>
    <row r="8" spans="1:12" x14ac:dyDescent="0.35">
      <c r="A8" s="10" t="s">
        <v>13</v>
      </c>
      <c r="B8" s="15">
        <f>SUMIFS('Row Level Master Sheet'!F:F,'Row Level Master Sheet'!B:B,A8)</f>
        <v>3364642.4300000006</v>
      </c>
      <c r="C8" s="15">
        <f>SUMIFS('Row Level Master Sheet'!J:J,'Row Level Master Sheet'!B:B,A8)</f>
        <v>5452013.7997999983</v>
      </c>
      <c r="D8" s="9">
        <f>SUMIFS('Row Level Master Sheet'!G:G,'Row Level Master Sheet'!B:B,A8)</f>
        <v>77300836</v>
      </c>
      <c r="E8" s="9">
        <f>SUMIFS('Row Level Master Sheet'!H:H,'Row Level Master Sheet'!B:B,A8)</f>
        <v>1393275</v>
      </c>
      <c r="F8" s="9">
        <f>SUMIFS('Row Level Master Sheet'!I:I,'Row Level Master Sheet'!B:B,A8)</f>
        <v>135265</v>
      </c>
      <c r="G8" s="20">
        <f t="shared" si="0"/>
        <v>0.6203843092473863</v>
      </c>
      <c r="H8" s="20">
        <f t="shared" si="3"/>
        <v>1.6203843092473862</v>
      </c>
      <c r="I8" s="20">
        <f t="shared" si="4"/>
        <v>1.8024061214551419E-2</v>
      </c>
      <c r="J8" s="20">
        <f t="shared" si="5"/>
        <v>9.7084208070912059E-2</v>
      </c>
      <c r="K8" s="21">
        <f t="shared" si="1"/>
        <v>2.4149162441011289</v>
      </c>
      <c r="L8" s="21">
        <f t="shared" si="2"/>
        <v>24.874449635899904</v>
      </c>
    </row>
    <row r="9" spans="1:12" x14ac:dyDescent="0.35">
      <c r="A9" s="12" t="s">
        <v>10</v>
      </c>
      <c r="B9" s="15">
        <f>SUMIFS('Row Level Master Sheet'!F:F,'Row Level Master Sheet'!B:B,A9)</f>
        <v>2783563.74</v>
      </c>
      <c r="C9" s="15">
        <f>SUMIFS('Row Level Master Sheet'!J:J,'Row Level Master Sheet'!B:B,A9)</f>
        <v>4746278.5803000005</v>
      </c>
      <c r="D9" s="9">
        <f>SUMIFS('Row Level Master Sheet'!G:G,'Row Level Master Sheet'!B:B,A9)</f>
        <v>51086897</v>
      </c>
      <c r="E9" s="9">
        <f>SUMIFS('Row Level Master Sheet'!H:H,'Row Level Master Sheet'!B:B,A9)</f>
        <v>1202252</v>
      </c>
      <c r="F9" s="9">
        <f>SUMIFS('Row Level Master Sheet'!I:I,'Row Level Master Sheet'!B:B,A9)</f>
        <v>118476</v>
      </c>
      <c r="G9" s="20">
        <f t="shared" si="0"/>
        <v>0.70510863900677201</v>
      </c>
      <c r="H9" s="20">
        <f t="shared" si="3"/>
        <v>1.705108639006772</v>
      </c>
      <c r="I9" s="20">
        <f t="shared" si="4"/>
        <v>2.3533470823252391E-2</v>
      </c>
      <c r="J9" s="20">
        <f t="shared" si="5"/>
        <v>9.8545063763670185E-2</v>
      </c>
      <c r="K9" s="21">
        <f t="shared" si="1"/>
        <v>2.3152914197689007</v>
      </c>
      <c r="L9" s="21">
        <f t="shared" si="2"/>
        <v>23.494747797022182</v>
      </c>
    </row>
    <row r="10" spans="1:12" x14ac:dyDescent="0.35">
      <c r="K10" s="17"/>
      <c r="L10" t="str">
        <f t="shared" ref="L10" si="6">IFERROR(B10/F10,"")</f>
        <v/>
      </c>
    </row>
    <row r="11" spans="1:12" x14ac:dyDescent="0.35">
      <c r="D11" s="65"/>
      <c r="E11" s="65"/>
    </row>
  </sheetData>
  <autoFilter ref="A1:J9" xr:uid="{310E8606-FD45-4BE1-803E-E57C7756603A}"/>
  <sortState xmlns:xlrd2="http://schemas.microsoft.com/office/spreadsheetml/2017/richdata2" ref="A2:J9">
    <sortCondition descending="1" ref="A2:A9"/>
  </sortState>
  <mergeCells count="1">
    <mergeCell ref="D11:E1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D201-5E92-413A-9EF7-1D2FEF58B6B0}">
  <dimension ref="A1:G7"/>
  <sheetViews>
    <sheetView workbookViewId="0">
      <selection activeCell="H6" sqref="H6"/>
    </sheetView>
  </sheetViews>
  <sheetFormatPr defaultRowHeight="14.5" x14ac:dyDescent="0.35"/>
  <cols>
    <col min="1" max="1" width="13" bestFit="1" customWidth="1"/>
    <col min="2" max="2" width="16.6328125" customWidth="1"/>
    <col min="3" max="3" width="15.7265625" customWidth="1"/>
    <col min="4" max="4" width="6.81640625" style="21" bestFit="1" customWidth="1"/>
    <col min="7" max="7" width="16.26953125" customWidth="1"/>
  </cols>
  <sheetData>
    <row r="1" spans="1:7" x14ac:dyDescent="0.35">
      <c r="A1" s="6" t="s">
        <v>16</v>
      </c>
      <c r="B1" s="14" t="s">
        <v>1</v>
      </c>
      <c r="C1" s="14" t="s">
        <v>2</v>
      </c>
      <c r="D1" s="18" t="s">
        <v>6</v>
      </c>
      <c r="E1" t="s">
        <v>67</v>
      </c>
      <c r="F1" t="s">
        <v>68</v>
      </c>
      <c r="G1" t="s">
        <v>7</v>
      </c>
    </row>
    <row r="2" spans="1:7" x14ac:dyDescent="0.35">
      <c r="A2" s="9" t="s">
        <v>17</v>
      </c>
      <c r="B2" s="15">
        <f>SUMIFS('Row Level Master Sheet'!F:F,'Row Level Master Sheet'!D:D,'By region KPIs'!A2)</f>
        <v>5057866.3999999994</v>
      </c>
      <c r="C2" s="15">
        <f>SUMIFS('Row Level Master Sheet'!J:J,'Row Level Master Sheet'!D:D,'By region KPIs'!A2)</f>
        <v>8606148.7843999974</v>
      </c>
      <c r="D2" s="20">
        <f>(C2-B2)/B2</f>
        <v>0.70153738825525291</v>
      </c>
      <c r="E2" s="21">
        <f>C2/B2</f>
        <v>1.7015373882552529</v>
      </c>
      <c r="F2" s="21">
        <f>IFERROR(
SUMIFS('Row Level Master Sheet'!H:H,'Row Level Master Sheet'!D:D,A2)/
SUMIFS('Row Level Master Sheet'!G:G,'Row Level Master Sheet'!D:D,A2),
"")</f>
        <v>2.0157145736378078E-2</v>
      </c>
      <c r="G2" s="21">
        <f>IFERROR(
SUMIFS('Row Level Master Sheet'!I:I,'Row Level Master Sheet'!D:D,A2)/
SUMIFS('Row Level Master Sheet'!H:H,'Row Level Master Sheet'!D:D,A2),
"")</f>
        <v>0.10620916098944602</v>
      </c>
    </row>
    <row r="3" spans="1:7" x14ac:dyDescent="0.35">
      <c r="A3" s="11" t="s">
        <v>18</v>
      </c>
      <c r="B3" s="15">
        <f>SUMIFS('Row Level Master Sheet'!F:F,'Row Level Master Sheet'!D:D,'By region KPIs'!A3)</f>
        <v>4469221.4999999991</v>
      </c>
      <c r="C3" s="15">
        <f>SUMIFS('Row Level Master Sheet'!J:J,'Row Level Master Sheet'!D:D,'By region KPIs'!A3)</f>
        <v>7511004.8972999947</v>
      </c>
      <c r="D3" s="20">
        <f t="shared" ref="D3:D7" si="0">(C3-B3)/B3</f>
        <v>0.6806069910162198</v>
      </c>
      <c r="E3" s="21">
        <f t="shared" ref="E3:E7" si="1">C3/B3</f>
        <v>1.6806069910162198</v>
      </c>
      <c r="F3" s="21">
        <f>IFERROR(
SUMIFS('Row Level Master Sheet'!H:H,'Row Level Master Sheet'!D:D,A3)/
SUMIFS('Row Level Master Sheet'!G:G,'Row Level Master Sheet'!D:D,A3),
"")</f>
        <v>1.9902218310397211E-2</v>
      </c>
      <c r="G3" s="21">
        <f>IFERROR(
SUMIFS('Row Level Master Sheet'!I:I,'Row Level Master Sheet'!D:D,A3)/
SUMIFS('Row Level Master Sheet'!H:H,'Row Level Master Sheet'!D:D,A3),
"")</f>
        <v>0.10958220111366605</v>
      </c>
    </row>
    <row r="4" spans="1:7" x14ac:dyDescent="0.35">
      <c r="A4" s="9" t="s">
        <v>19</v>
      </c>
      <c r="B4" s="15">
        <f>SUMIFS('Row Level Master Sheet'!F:F,'Row Level Master Sheet'!D:D,'By region KPIs'!A4)</f>
        <v>3210216.7400000012</v>
      </c>
      <c r="C4" s="15">
        <f>SUMIFS('Row Level Master Sheet'!J:J,'Row Level Master Sheet'!D:D,'By region KPIs'!A4)</f>
        <v>5386555.7014999986</v>
      </c>
      <c r="D4" s="20">
        <f t="shared" si="0"/>
        <v>0.67794144064552997</v>
      </c>
      <c r="E4" s="21">
        <f t="shared" si="1"/>
        <v>1.67794144064553</v>
      </c>
      <c r="F4" s="21">
        <f>IFERROR(
SUMIFS('Row Level Master Sheet'!H:H,'Row Level Master Sheet'!D:D,A4)/
SUMIFS('Row Level Master Sheet'!G:G,'Row Level Master Sheet'!D:D,A4),
"")</f>
        <v>2.1143979265734945E-2</v>
      </c>
      <c r="G4" s="21">
        <f>IFERROR(
SUMIFS('Row Level Master Sheet'!I:I,'Row Level Master Sheet'!D:D,A4)/
SUMIFS('Row Level Master Sheet'!H:H,'Row Level Master Sheet'!D:D,A4),
"")</f>
        <v>9.1238692334593141E-2</v>
      </c>
    </row>
    <row r="5" spans="1:7" x14ac:dyDescent="0.35">
      <c r="A5" s="11" t="s">
        <v>20</v>
      </c>
      <c r="B5" s="15">
        <f>SUMIFS('Row Level Master Sheet'!F:F,'Row Level Master Sheet'!D:D,'By region KPIs'!A5)</f>
        <v>4290993.910000002</v>
      </c>
      <c r="C5" s="15">
        <f>SUMIFS('Row Level Master Sheet'!J:J,'Row Level Master Sheet'!D:D,'By region KPIs'!A5)</f>
        <v>7025102.3178999973</v>
      </c>
      <c r="D5" s="20">
        <f t="shared" si="0"/>
        <v>0.63717368638726268</v>
      </c>
      <c r="E5" s="21">
        <f t="shared" si="1"/>
        <v>1.6371736863872626</v>
      </c>
      <c r="F5" s="21">
        <f>IFERROR(
SUMIFS('Row Level Master Sheet'!H:H,'Row Level Master Sheet'!D:D,A5)/
SUMIFS('Row Level Master Sheet'!G:G,'Row Level Master Sheet'!D:D,A5),
"")</f>
        <v>2.0120673094241037E-2</v>
      </c>
      <c r="G5" s="21">
        <f>IFERROR(
SUMIFS('Row Level Master Sheet'!I:I,'Row Level Master Sheet'!D:D,A5)/
SUMIFS('Row Level Master Sheet'!H:H,'Row Level Master Sheet'!D:D,A5),
"")</f>
        <v>8.9986939717103781E-2</v>
      </c>
    </row>
    <row r="6" spans="1:7" x14ac:dyDescent="0.35">
      <c r="A6" s="9" t="s">
        <v>21</v>
      </c>
      <c r="B6" s="15">
        <f>SUMIFS('Row Level Master Sheet'!F:F,'Row Level Master Sheet'!D:D,'By region KPIs'!A6)</f>
        <v>4544602.4100000011</v>
      </c>
      <c r="C6" s="15">
        <f>SUMIFS('Row Level Master Sheet'!J:J,'Row Level Master Sheet'!D:D,'By region KPIs'!A6)</f>
        <v>7392217.3203000007</v>
      </c>
      <c r="D6" s="20">
        <f t="shared" si="0"/>
        <v>0.62659274748305183</v>
      </c>
      <c r="E6" s="21">
        <f t="shared" si="1"/>
        <v>1.6265927474830519</v>
      </c>
      <c r="F6" s="21">
        <f>IFERROR(
SUMIFS('Row Level Master Sheet'!H:H,'Row Level Master Sheet'!D:D,A6)/
SUMIFS('Row Level Master Sheet'!G:G,'Row Level Master Sheet'!D:D,A6),
"")</f>
        <v>2.1814798135139476E-2</v>
      </c>
      <c r="G6" s="21">
        <f>IFERROR(
SUMIFS('Row Level Master Sheet'!I:I,'Row Level Master Sheet'!D:D,A6)/
SUMIFS('Row Level Master Sheet'!H:H,'Row Level Master Sheet'!D:D,A6),
"")</f>
        <v>0.10335065899387415</v>
      </c>
    </row>
    <row r="7" spans="1:7" x14ac:dyDescent="0.35">
      <c r="A7" s="4" t="s">
        <v>22</v>
      </c>
      <c r="B7" s="15">
        <f>SUMIFS('Row Level Master Sheet'!F:F,'Row Level Master Sheet'!D:D,'By region KPIs'!A7)</f>
        <v>4121513.28</v>
      </c>
      <c r="C7" s="15">
        <f>SUMIFS('Row Level Master Sheet'!J:J,'Row Level Master Sheet'!D:D,'By region KPIs'!A7)</f>
        <v>6619546.5034999968</v>
      </c>
      <c r="D7" s="20">
        <f t="shared" si="0"/>
        <v>0.60609612387321898</v>
      </c>
      <c r="E7" s="21">
        <f t="shared" si="1"/>
        <v>1.606096123873219</v>
      </c>
      <c r="F7" s="21">
        <f>IFERROR(
SUMIFS('Row Level Master Sheet'!H:H,'Row Level Master Sheet'!D:D,A7)/
SUMIFS('Row Level Master Sheet'!G:G,'Row Level Master Sheet'!D:D,A7),
"")</f>
        <v>1.9420263954660455E-2</v>
      </c>
      <c r="G7" s="21">
        <f>IFERROR(
SUMIFS('Row Level Master Sheet'!I:I,'Row Level Master Sheet'!D:D,A7)/
SUMIFS('Row Level Master Sheet'!H:H,'Row Level Master Sheet'!D:D,A7),
"")</f>
        <v>0.10797134871043702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DCD2-6C4F-499B-8689-E92EE3561EA8}">
  <dimension ref="A1:G7"/>
  <sheetViews>
    <sheetView workbookViewId="0">
      <selection activeCell="K7" sqref="K7"/>
    </sheetView>
  </sheetViews>
  <sheetFormatPr defaultRowHeight="14.5" x14ac:dyDescent="0.35"/>
  <cols>
    <col min="1" max="1" width="10.54296875" bestFit="1" customWidth="1"/>
    <col min="2" max="2" width="14" customWidth="1"/>
    <col min="3" max="3" width="15.7265625" customWidth="1"/>
    <col min="4" max="4" width="6.81640625" bestFit="1" customWidth="1"/>
    <col min="7" max="7" width="16.81640625" customWidth="1"/>
  </cols>
  <sheetData>
    <row r="1" spans="1:7" x14ac:dyDescent="0.35">
      <c r="A1" s="6" t="s">
        <v>23</v>
      </c>
      <c r="B1" s="14" t="s">
        <v>1</v>
      </c>
      <c r="C1" s="14" t="s">
        <v>2</v>
      </c>
      <c r="D1" s="19" t="s">
        <v>6</v>
      </c>
      <c r="E1" t="s">
        <v>67</v>
      </c>
      <c r="F1" t="s">
        <v>68</v>
      </c>
      <c r="G1" t="s">
        <v>7</v>
      </c>
    </row>
    <row r="2" spans="1:7" x14ac:dyDescent="0.35">
      <c r="A2" s="9" t="s">
        <v>24</v>
      </c>
      <c r="B2" s="15">
        <f>SUMIFS('Row Level Master Sheet'!F:F,'Row Level Master Sheet'!E:E,A2)</f>
        <v>4212996.4400000004</v>
      </c>
      <c r="C2" s="15">
        <f>SUMIFS('Row Level Master Sheet'!J:J,'Row Level Master Sheet'!E:E,A2)</f>
        <v>7359742.2026999993</v>
      </c>
      <c r="D2" s="22">
        <f>(C2-B2)/B2</f>
        <v>0.74691393821828123</v>
      </c>
      <c r="E2" s="21">
        <f t="shared" ref="E2:E7" si="0">C2/B2</f>
        <v>1.7469139382182812</v>
      </c>
      <c r="F2" s="21">
        <f>SUMIFS('Row Level Master Sheet'!H:H,'Row Level Master Sheet'!E:E,A2)/
SUMIFS('Row Level Master Sheet'!G:G,'Row Level Master Sheet'!E:E,A2)</f>
        <v>1.9131023294637606E-2</v>
      </c>
      <c r="G2" s="21">
        <f>SUMIFS('Row Level Master Sheet'!I:I,'Row Level Master Sheet'!E:E,A2)/
SUMIFS('Row Level Master Sheet'!H:H,'Row Level Master Sheet'!E:E,A2)</f>
        <v>0.11069775964442666</v>
      </c>
    </row>
    <row r="3" spans="1:7" x14ac:dyDescent="0.35">
      <c r="A3" s="11" t="s">
        <v>28</v>
      </c>
      <c r="B3" s="15">
        <f>SUMIFS('Row Level Master Sheet'!F:F,'Row Level Master Sheet'!E:E,A3)</f>
        <v>4042302.5900000003</v>
      </c>
      <c r="C3" s="15">
        <f>SUMIFS('Row Level Master Sheet'!J:J,'Row Level Master Sheet'!E:E,A3)</f>
        <v>6785187.3561999993</v>
      </c>
      <c r="D3" s="23">
        <f t="shared" ref="D3:D7" si="1">(C3-B3)/B3</f>
        <v>0.67854513736439481</v>
      </c>
      <c r="E3" s="21">
        <f t="shared" si="0"/>
        <v>1.6785451373643947</v>
      </c>
      <c r="F3" s="21">
        <f>SUMIFS('Row Level Master Sheet'!H:H,'Row Level Master Sheet'!E:E,A3)/
SUMIFS('Row Level Master Sheet'!G:G,'Row Level Master Sheet'!E:E,A3)</f>
        <v>2.2925285826042491E-2</v>
      </c>
      <c r="G3" s="21">
        <f>SUMIFS('Row Level Master Sheet'!I:I,'Row Level Master Sheet'!E:E,A3)/
SUMIFS('Row Level Master Sheet'!H:H,'Row Level Master Sheet'!E:E,A3)</f>
        <v>9.023978690624665E-2</v>
      </c>
    </row>
    <row r="4" spans="1:7" x14ac:dyDescent="0.35">
      <c r="A4" s="9" t="s">
        <v>25</v>
      </c>
      <c r="B4" s="15">
        <f>SUMIFS('Row Level Master Sheet'!F:F,'Row Level Master Sheet'!E:E,A4)</f>
        <v>4150359.6300000018</v>
      </c>
      <c r="C4" s="15">
        <f>SUMIFS('Row Level Master Sheet'!J:J,'Row Level Master Sheet'!E:E,A4)</f>
        <v>6876827.8829999994</v>
      </c>
      <c r="D4" s="22">
        <f t="shared" si="1"/>
        <v>0.65692337437273995</v>
      </c>
      <c r="E4" s="21">
        <f t="shared" si="0"/>
        <v>1.6569233743727401</v>
      </c>
      <c r="F4" s="21">
        <f>SUMIFS('Row Level Master Sheet'!H:H,'Row Level Master Sheet'!E:E,A4)/
SUMIFS('Row Level Master Sheet'!G:G,'Row Level Master Sheet'!E:E,A4)</f>
        <v>1.8871709318720585E-2</v>
      </c>
      <c r="G4" s="21">
        <f>SUMIFS('Row Level Master Sheet'!I:I,'Row Level Master Sheet'!E:E,A4)/
SUMIFS('Row Level Master Sheet'!H:H,'Row Level Master Sheet'!E:E,A4)</f>
        <v>9.166079157898209E-2</v>
      </c>
    </row>
    <row r="5" spans="1:7" x14ac:dyDescent="0.35">
      <c r="A5" s="11" t="s">
        <v>29</v>
      </c>
      <c r="B5" s="15">
        <f>SUMIFS('Row Level Master Sheet'!F:F,'Row Level Master Sheet'!E:E,A5)</f>
        <v>4833934.9099999992</v>
      </c>
      <c r="C5" s="15">
        <f>SUMIFS('Row Level Master Sheet'!J:J,'Row Level Master Sheet'!E:E,A5)</f>
        <v>7964080.5864999965</v>
      </c>
      <c r="D5" s="23">
        <f t="shared" si="1"/>
        <v>0.64753575188293089</v>
      </c>
      <c r="E5" s="21">
        <f t="shared" si="0"/>
        <v>1.6475357518829308</v>
      </c>
      <c r="F5" s="21">
        <f>SUMIFS('Row Level Master Sheet'!H:H,'Row Level Master Sheet'!E:E,A5)/
SUMIFS('Row Level Master Sheet'!G:G,'Row Level Master Sheet'!E:E,A5)</f>
        <v>2.1887214227666957E-2</v>
      </c>
      <c r="G5" s="21">
        <f>SUMIFS('Row Level Master Sheet'!I:I,'Row Level Master Sheet'!E:E,A5)/
SUMIFS('Row Level Master Sheet'!H:H,'Row Level Master Sheet'!E:E,A5)</f>
        <v>0.10855270740808835</v>
      </c>
    </row>
    <row r="6" spans="1:7" x14ac:dyDescent="0.35">
      <c r="A6" s="9" t="s">
        <v>27</v>
      </c>
      <c r="B6" s="15">
        <f>SUMIFS('Row Level Master Sheet'!F:F,'Row Level Master Sheet'!E:E,A6)</f>
        <v>3833333.2099999995</v>
      </c>
      <c r="C6" s="15">
        <f>SUMIFS('Row Level Master Sheet'!J:J,'Row Level Master Sheet'!E:E,A6)</f>
        <v>6196118.8800999979</v>
      </c>
      <c r="D6" s="22">
        <f t="shared" si="1"/>
        <v>0.61637889029219006</v>
      </c>
      <c r="E6" s="21">
        <f t="shared" si="0"/>
        <v>1.6163788902921901</v>
      </c>
      <c r="F6" s="21">
        <f>SUMIFS('Row Level Master Sheet'!H:H,'Row Level Master Sheet'!E:E,A6)/
SUMIFS('Row Level Master Sheet'!G:G,'Row Level Master Sheet'!E:E,A6)</f>
        <v>1.9503180198860878E-2</v>
      </c>
      <c r="G6" s="21">
        <f>SUMIFS('Row Level Master Sheet'!I:I,'Row Level Master Sheet'!E:E,A6)/
SUMIFS('Row Level Master Sheet'!H:H,'Row Level Master Sheet'!E:E,A6)</f>
        <v>0.10677859852433531</v>
      </c>
    </row>
    <row r="7" spans="1:7" x14ac:dyDescent="0.35">
      <c r="A7" s="4" t="s">
        <v>26</v>
      </c>
      <c r="B7" s="15">
        <f>SUMIFS('Row Level Master Sheet'!F:F,'Row Level Master Sheet'!E:E,A7)</f>
        <v>4621487.4600000018</v>
      </c>
      <c r="C7" s="15">
        <f>SUMIFS('Row Level Master Sheet'!J:J,'Row Level Master Sheet'!E:E,A7)</f>
        <v>7358618.6163999988</v>
      </c>
      <c r="D7" s="24">
        <f t="shared" si="1"/>
        <v>0.59226194598394433</v>
      </c>
      <c r="E7" s="21">
        <f t="shared" si="0"/>
        <v>1.5922619459839442</v>
      </c>
      <c r="F7" s="21">
        <f>SUMIFS('Row Level Master Sheet'!H:H,'Row Level Master Sheet'!E:E,A7)/
SUMIFS('Row Level Master Sheet'!G:G,'Row Level Master Sheet'!E:E,A7)</f>
        <v>2.0252258233225375E-2</v>
      </c>
      <c r="G7" s="21">
        <f>SUMIFS('Row Level Master Sheet'!I:I,'Row Level Master Sheet'!E:E,A7)/
SUMIFS('Row Level Master Sheet'!H:H,'Row Level Master Sheet'!E:E,A7)</f>
        <v>0.10394061400143451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FB99-1C11-43A2-8533-1347B1CADC5C}">
  <dimension ref="A1:D3"/>
  <sheetViews>
    <sheetView workbookViewId="0">
      <selection activeCell="F12" sqref="F12"/>
    </sheetView>
  </sheetViews>
  <sheetFormatPr defaultRowHeight="14.5" x14ac:dyDescent="0.35"/>
  <cols>
    <col min="1" max="1" width="9.81640625" bestFit="1" customWidth="1"/>
    <col min="2" max="3" width="15.1796875" bestFit="1" customWidth="1"/>
    <col min="4" max="4" width="6.81640625" bestFit="1" customWidth="1"/>
  </cols>
  <sheetData>
    <row r="1" spans="1:4" x14ac:dyDescent="0.35">
      <c r="A1" s="5" t="s">
        <v>30</v>
      </c>
      <c r="B1" s="6" t="s">
        <v>1</v>
      </c>
      <c r="C1" s="6" t="s">
        <v>2</v>
      </c>
      <c r="D1" s="7" t="s">
        <v>6</v>
      </c>
    </row>
    <row r="2" spans="1:4" x14ac:dyDescent="0.35">
      <c r="A2" s="8" t="s">
        <v>31</v>
      </c>
      <c r="B2" s="25">
        <f>SUMIFS('Row Level Master Sheet'!F:F,'Row Level Master Sheet'!C:C,A2)</f>
        <v>8828028.5099999979</v>
      </c>
      <c r="C2" s="25">
        <f>SUMIFS('Row Level Master Sheet'!J:J,'Row Level Master Sheet'!C:C,A2)</f>
        <v>15165406.393300004</v>
      </c>
      <c r="D2" s="22">
        <f>(C2-B2)/B2</f>
        <v>0.71787011971260706</v>
      </c>
    </row>
    <row r="3" spans="1:4" x14ac:dyDescent="0.35">
      <c r="A3" s="3" t="s">
        <v>32</v>
      </c>
      <c r="B3" s="25">
        <f>SUMIFS('Row Level Master Sheet'!F:F,'Row Level Master Sheet'!C:C,A3)</f>
        <v>16866385.73</v>
      </c>
      <c r="C3" s="25">
        <f>SUMIFS('Row Level Master Sheet'!J:J,'Row Level Master Sheet'!C:C,A3)</f>
        <v>27375169.131600007</v>
      </c>
      <c r="D3" s="22">
        <f>(C3-B3)/B3</f>
        <v>0.62306077720659403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699A-DA06-45D0-9B26-3481778084D7}">
  <dimension ref="A1:G6"/>
  <sheetViews>
    <sheetView workbookViewId="0">
      <selection activeCell="J11" sqref="J11"/>
    </sheetView>
  </sheetViews>
  <sheetFormatPr defaultRowHeight="14.5" x14ac:dyDescent="0.35"/>
  <cols>
    <col min="1" max="1" width="11.36328125" customWidth="1"/>
    <col min="2" max="2" width="18.36328125" bestFit="1" customWidth="1"/>
    <col min="3" max="3" width="13" bestFit="1" customWidth="1"/>
    <col min="4" max="4" width="10.54296875" bestFit="1" customWidth="1"/>
    <col min="5" max="5" width="10.90625" bestFit="1" customWidth="1"/>
    <col min="6" max="6" width="13.1796875" customWidth="1"/>
    <col min="7" max="7" width="14.36328125" customWidth="1"/>
  </cols>
  <sheetData>
    <row r="1" spans="1:7" x14ac:dyDescent="0.35">
      <c r="A1" s="46" t="s">
        <v>36</v>
      </c>
      <c r="B1" s="5" t="s">
        <v>33</v>
      </c>
      <c r="C1" s="6" t="s">
        <v>16</v>
      </c>
      <c r="D1" s="6" t="s">
        <v>23</v>
      </c>
      <c r="E1" s="6" t="s">
        <v>34</v>
      </c>
      <c r="F1" s="6" t="s">
        <v>35</v>
      </c>
      <c r="G1" s="7" t="s">
        <v>6</v>
      </c>
    </row>
    <row r="2" spans="1:7" x14ac:dyDescent="0.35">
      <c r="A2" s="12">
        <v>518</v>
      </c>
      <c r="B2" s="11" t="s">
        <v>10</v>
      </c>
      <c r="C2" s="11" t="s">
        <v>21</v>
      </c>
      <c r="D2" s="11" t="s">
        <v>25</v>
      </c>
      <c r="E2" s="16">
        <v>43281.14</v>
      </c>
      <c r="F2" s="16">
        <v>108202.85</v>
      </c>
      <c r="G2" s="20">
        <f>(F2-E2)/E2</f>
        <v>1.5000000000000002</v>
      </c>
    </row>
    <row r="3" spans="1:7" x14ac:dyDescent="0.35">
      <c r="A3" s="3">
        <v>890</v>
      </c>
      <c r="B3" s="11" t="s">
        <v>11</v>
      </c>
      <c r="C3" s="11" t="s">
        <v>20</v>
      </c>
      <c r="D3" s="11" t="s">
        <v>27</v>
      </c>
      <c r="E3" s="16">
        <v>11770.46</v>
      </c>
      <c r="F3" s="16">
        <v>29426.15</v>
      </c>
      <c r="G3" s="20">
        <f>(F3-E3)/E3</f>
        <v>1.5000000000000002</v>
      </c>
    </row>
    <row r="4" spans="1:7" x14ac:dyDescent="0.35">
      <c r="A4" s="12">
        <v>857</v>
      </c>
      <c r="B4" s="9" t="s">
        <v>9</v>
      </c>
      <c r="C4" s="9" t="s">
        <v>18</v>
      </c>
      <c r="D4" s="9" t="s">
        <v>24</v>
      </c>
      <c r="E4" s="15">
        <v>46609.56</v>
      </c>
      <c r="F4" s="15">
        <v>116523.9</v>
      </c>
      <c r="G4" s="20">
        <f>(F4-E4)/E4</f>
        <v>1.5</v>
      </c>
    </row>
    <row r="5" spans="1:7" x14ac:dyDescent="0.35">
      <c r="A5" s="3">
        <v>966</v>
      </c>
      <c r="B5" s="11" t="s">
        <v>11</v>
      </c>
      <c r="C5" s="11" t="s">
        <v>19</v>
      </c>
      <c r="D5" s="11" t="s">
        <v>25</v>
      </c>
      <c r="E5" s="16">
        <v>23471.3</v>
      </c>
      <c r="F5" s="16">
        <v>58678.25</v>
      </c>
      <c r="G5" s="20">
        <f>(F5-E5)/E5</f>
        <v>1.5</v>
      </c>
    </row>
    <row r="6" spans="1:7" x14ac:dyDescent="0.35">
      <c r="A6" s="3">
        <v>433</v>
      </c>
      <c r="B6" s="9" t="s">
        <v>15</v>
      </c>
      <c r="C6" s="9" t="s">
        <v>21</v>
      </c>
      <c r="D6" s="9" t="s">
        <v>24</v>
      </c>
      <c r="E6" s="15">
        <v>14121.06</v>
      </c>
      <c r="F6" s="15">
        <v>35161.439400000003</v>
      </c>
      <c r="G6" s="20">
        <f>(F6-E6)/E6</f>
        <v>1.4900000000000004</v>
      </c>
    </row>
  </sheetData>
  <autoFilter ref="B1:G6" xr:uid="{0602699A-DA06-45D0-9B26-3481778084D7}">
    <sortState xmlns:xlrd2="http://schemas.microsoft.com/office/spreadsheetml/2017/richdata2" ref="B2:G6">
      <sortCondition descending="1" ref="G1:G6"/>
    </sortState>
  </autoFilter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D2BA-1B65-47FB-A6AC-92AFC88263AE}">
  <dimension ref="A1:G6"/>
  <sheetViews>
    <sheetView tabSelected="1" workbookViewId="0">
      <selection activeCell="G6" sqref="G6"/>
    </sheetView>
  </sheetViews>
  <sheetFormatPr defaultRowHeight="14.5" x14ac:dyDescent="0.35"/>
  <cols>
    <col min="2" max="2" width="18.36328125" bestFit="1" customWidth="1"/>
    <col min="3" max="3" width="13" bestFit="1" customWidth="1"/>
    <col min="4" max="4" width="10" bestFit="1" customWidth="1"/>
    <col min="5" max="6" width="10.90625" bestFit="1" customWidth="1"/>
    <col min="7" max="7" width="12.7265625" customWidth="1"/>
  </cols>
  <sheetData>
    <row r="1" spans="1:7" x14ac:dyDescent="0.35">
      <c r="A1" s="46" t="s">
        <v>36</v>
      </c>
      <c r="B1" s="5" t="s">
        <v>33</v>
      </c>
      <c r="C1" s="6" t="s">
        <v>16</v>
      </c>
      <c r="D1" s="6" t="s">
        <v>23</v>
      </c>
      <c r="E1" s="6" t="s">
        <v>34</v>
      </c>
      <c r="F1" s="6" t="s">
        <v>35</v>
      </c>
      <c r="G1" s="7" t="s">
        <v>6</v>
      </c>
    </row>
    <row r="2" spans="1:7" x14ac:dyDescent="0.35">
      <c r="A2" s="12">
        <v>753</v>
      </c>
      <c r="B2" s="9" t="s">
        <v>14</v>
      </c>
      <c r="C2" s="9" t="s">
        <v>22</v>
      </c>
      <c r="D2" s="9" t="s">
        <v>28</v>
      </c>
      <c r="E2" s="15">
        <v>8114.63</v>
      </c>
      <c r="F2" s="15">
        <v>6491.7039999999997</v>
      </c>
      <c r="G2" s="20">
        <f>(F2-E2)/E2</f>
        <v>-0.20000000000000004</v>
      </c>
    </row>
    <row r="3" spans="1:7" x14ac:dyDescent="0.35">
      <c r="A3" s="3">
        <v>818</v>
      </c>
      <c r="B3" s="11" t="s">
        <v>9</v>
      </c>
      <c r="C3" s="11" t="s">
        <v>19</v>
      </c>
      <c r="D3" s="11" t="s">
        <v>25</v>
      </c>
      <c r="E3" s="16">
        <v>3072.3</v>
      </c>
      <c r="F3" s="16">
        <v>2457.84</v>
      </c>
      <c r="G3" s="20">
        <f>(F3-E3)/E3</f>
        <v>-0.2</v>
      </c>
    </row>
    <row r="4" spans="1:7" x14ac:dyDescent="0.35">
      <c r="A4" s="12">
        <v>44</v>
      </c>
      <c r="B4" s="11" t="s">
        <v>13</v>
      </c>
      <c r="C4" s="11" t="s">
        <v>18</v>
      </c>
      <c r="D4" s="11" t="s">
        <v>26</v>
      </c>
      <c r="E4" s="16">
        <v>13663.15</v>
      </c>
      <c r="F4" s="16">
        <v>10930.52</v>
      </c>
      <c r="G4" s="20">
        <f>(F4-E4)/E4</f>
        <v>-0.19999999999999996</v>
      </c>
    </row>
    <row r="5" spans="1:7" x14ac:dyDescent="0.35">
      <c r="A5" s="3">
        <v>604</v>
      </c>
      <c r="B5" s="11" t="s">
        <v>10</v>
      </c>
      <c r="C5" s="11" t="s">
        <v>17</v>
      </c>
      <c r="D5" s="11" t="s">
        <v>25</v>
      </c>
      <c r="E5" s="16">
        <v>48895.15</v>
      </c>
      <c r="F5" s="16">
        <v>39605.071499999998</v>
      </c>
      <c r="G5" s="20">
        <f>(F5-E5)/E5</f>
        <v>-0.19000000000000006</v>
      </c>
    </row>
    <row r="6" spans="1:7" x14ac:dyDescent="0.35">
      <c r="A6" s="3">
        <v>779</v>
      </c>
      <c r="B6" s="9" t="s">
        <v>13</v>
      </c>
      <c r="C6" s="9" t="s">
        <v>19</v>
      </c>
      <c r="D6" s="9" t="s">
        <v>24</v>
      </c>
      <c r="E6" s="15">
        <v>23695.46</v>
      </c>
      <c r="F6" s="15">
        <v>19193.3226</v>
      </c>
      <c r="G6" s="20">
        <f>(F6-E6)/E6</f>
        <v>-0.19</v>
      </c>
    </row>
  </sheetData>
  <autoFilter ref="B1:G6" xr:uid="{3C77D2BA-1B65-47FB-A6AC-92AFC88263AE}">
    <sortState xmlns:xlrd2="http://schemas.microsoft.com/office/spreadsheetml/2017/richdata2" ref="B2:G6">
      <sortCondition ref="G1:G6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ABC610-7BE3-4BB2-ABF0-33D2D0665D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Row Level Master Sheet</vt:lpstr>
      <vt:lpstr>TTest Output</vt:lpstr>
      <vt:lpstr>TTest sheet</vt:lpstr>
      <vt:lpstr>By campaign KPIs</vt:lpstr>
      <vt:lpstr>By region KPIs</vt:lpstr>
      <vt:lpstr>By industry KPIs</vt:lpstr>
      <vt:lpstr>Traditional vs digital</vt:lpstr>
      <vt:lpstr>Best 5</vt:lpstr>
      <vt:lpstr>Worst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SEN</dc:creator>
  <cp:lastModifiedBy>ANKITA SEN</cp:lastModifiedBy>
  <dcterms:created xsi:type="dcterms:W3CDTF">2026-09-10T21:16:07Z</dcterms:created>
  <dcterms:modified xsi:type="dcterms:W3CDTF">2026-09-15T20:10:08Z</dcterms:modified>
</cp:coreProperties>
</file>